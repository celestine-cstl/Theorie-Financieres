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eles\Desktop\"/>
    </mc:Choice>
  </mc:AlternateContent>
  <xr:revisionPtr revIDLastSave="0" documentId="8_{91492D2A-BE41-4143-8939-F3C806515603}" xr6:coauthVersionLast="47" xr6:coauthVersionMax="47" xr10:uidLastSave="{00000000-0000-0000-0000-000000000000}"/>
  <bookViews>
    <workbookView xWindow="-110" yWindow="-110" windowWidth="19420" windowHeight="10420" activeTab="6" xr2:uid="{00000000-000D-0000-FFFF-FFFF00000000}"/>
  </bookViews>
  <sheets>
    <sheet name="Data" sheetId="1" r:id="rId1"/>
    <sheet name="Q1" sheetId="4" r:id="rId2"/>
    <sheet name="Q2" sheetId="5" r:id="rId3"/>
    <sheet name="Q3" sheetId="3" r:id="rId4"/>
    <sheet name="Q4" sheetId="2" r:id="rId5"/>
    <sheet name="Q5" sheetId="6" r:id="rId6"/>
    <sheet name="Q6" sheetId="7" r:id="rId7"/>
  </sheets>
  <externalReferences>
    <externalReference r:id="rId8"/>
  </externalReferences>
  <definedNames>
    <definedName name="Cov">Data!$AB$23:$AM$34</definedName>
    <definedName name="cov_rf">'Q6'!$K$9:$W$21</definedName>
    <definedName name="r_BN.PA">Data!$N$1:$N$61</definedName>
    <definedName name="r_BNP.PA">Data!$O$1:$O$61</definedName>
    <definedName name="r_CA.PA">Data!$P$1:$P$61</definedName>
    <definedName name="r_CS.PA">Data!$Q$1:$Q$61</definedName>
    <definedName name="r_DG.PA">Data!$R$1:$R$61</definedName>
    <definedName name="r_EN.PA">Data!$S$1:$S$61</definedName>
    <definedName name="r_ENGI.PA">Data!$T$1:$T$61</definedName>
    <definedName name="r_KER.PA">Data!$U$1:$U$61</definedName>
    <definedName name="r_ML.PA">Data!$V$1:$V$61</definedName>
    <definedName name="r_OR.PA">Data!$W$1:$W$61</definedName>
    <definedName name="r_SGO.PA">Data!$X$1:$X$61</definedName>
    <definedName name="r_TTE.PA">Data!$Y$1:$Y$61</definedName>
    <definedName name="return_amazon">[1]Data!$E$3:$E$61</definedName>
    <definedName name="return_microsoft">[1]Data!$F$3:$F$61</definedName>
    <definedName name="return_starbucks">[1]Data!$G$3:$G$61</definedName>
    <definedName name="solver_adj" localSheetId="3" hidden="1">'Q3'!$C$6:$C$17</definedName>
    <definedName name="solver_adj" localSheetId="4" hidden="1">'Q4'!$C$8:$C$19</definedName>
    <definedName name="solver_adj" localSheetId="5" hidden="1">'Q5'!$C$8:$C$19</definedName>
    <definedName name="solver_adj" localSheetId="6" hidden="1">'Q6'!$C$8:$C$20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drv" localSheetId="3" hidden="1">2</definedName>
    <definedName name="solver_drv" localSheetId="4" hidden="1">2</definedName>
    <definedName name="solver_drv" localSheetId="5" hidden="1">2</definedName>
    <definedName name="solver_drv" localSheetId="6" hidden="1">2</definedName>
    <definedName name="solver_eng" localSheetId="0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lhs1" localSheetId="3" hidden="1">'Q3'!$D$6</definedName>
    <definedName name="solver_lhs1" localSheetId="4" hidden="1">'Q4'!$D$8</definedName>
    <definedName name="solver_lhs1" localSheetId="5" hidden="1">'Q5'!$D$8</definedName>
    <definedName name="solver_lhs1" localSheetId="6" hidden="1">'Q6'!$D$8</definedName>
    <definedName name="solver_lhs2" localSheetId="3" hidden="1">'Q3'!$D$6</definedName>
    <definedName name="solver_lhs2" localSheetId="4" hidden="1">'Q4'!$E$8</definedName>
    <definedName name="solver_lhs2" localSheetId="5" hidden="1">'Q5'!$E$8</definedName>
    <definedName name="solver_lhs2" localSheetId="6" hidden="1">'Q6'!$E$8</definedName>
    <definedName name="solver_lhs3" localSheetId="4" hidden="1">'Q4'!$F$8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neg" localSheetId="0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2</definedName>
    <definedName name="solver_neg" localSheetId="6" hidden="1">2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um" localSheetId="0" hidden="1">0</definedName>
    <definedName name="solver_num" localSheetId="2" hidden="1">0</definedName>
    <definedName name="solver_num" localSheetId="3" hidden="1">1</definedName>
    <definedName name="solver_num" localSheetId="4" hidden="1">2</definedName>
    <definedName name="solver_num" localSheetId="5" hidden="1">2</definedName>
    <definedName name="solver_num" localSheetId="6" hidden="1">2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opt" localSheetId="3" hidden="1">'Q3'!$G$6</definedName>
    <definedName name="solver_opt" localSheetId="4" hidden="1">'Q4'!$H$8</definedName>
    <definedName name="solver_opt" localSheetId="5" hidden="1">'Q5'!$H$8</definedName>
    <definedName name="solver_opt" localSheetId="6" hidden="1">'Q6'!$H$8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3" hidden="1">2</definedName>
    <definedName name="solver_rbv" localSheetId="4" hidden="1">2</definedName>
    <definedName name="solver_rbv" localSheetId="5" hidden="1">2</definedName>
    <definedName name="solver_rbv" localSheetId="6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1" localSheetId="6" hidden="1">2</definedName>
    <definedName name="solver_rel2" localSheetId="3" hidden="1">2</definedName>
    <definedName name="solver_rel2" localSheetId="4" hidden="1">2</definedName>
    <definedName name="solver_rel2" localSheetId="5" hidden="1">2</definedName>
    <definedName name="solver_rel2" localSheetId="6" hidden="1">2</definedName>
    <definedName name="solver_rel3" localSheetId="4" hidden="1">2</definedName>
    <definedName name="solver_rhs1" localSheetId="3" hidden="1">1</definedName>
    <definedName name="solver_rhs1" localSheetId="4" hidden="1">1</definedName>
    <definedName name="solver_rhs1" localSheetId="5" hidden="1">1</definedName>
    <definedName name="solver_rhs1" localSheetId="6" hidden="1">1</definedName>
    <definedName name="solver_rhs2" localSheetId="3" hidden="1">1</definedName>
    <definedName name="solver_rhs2" localSheetId="4" hidden="1">'Q4'!$F$8</definedName>
    <definedName name="solver_rhs2" localSheetId="5" hidden="1">'Q5'!$F$8</definedName>
    <definedName name="solver_rhs2" localSheetId="6" hidden="1">'Q6'!$F$8</definedName>
    <definedName name="solver_rhs3" localSheetId="4" hidden="1">'Q4'!$E$8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yp" localSheetId="0" hidden="1">1</definedName>
    <definedName name="solver_typ" localSheetId="2" hidden="1">1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val" localSheetId="0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er" localSheetId="0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7" l="1"/>
  <c r="D8" i="7"/>
  <c r="R61" i="7" a="1"/>
  <c r="R61" i="7" s="1"/>
  <c r="S61" i="7" s="1"/>
  <c r="E8" i="6"/>
  <c r="G8" i="2" a="1"/>
  <c r="G8" i="2" s="1"/>
  <c r="H8" i="2" s="1"/>
  <c r="Q61" i="7" a="1"/>
  <c r="Q61" i="7" s="1"/>
  <c r="T61" i="7" s="1"/>
  <c r="R82" i="7" a="1"/>
  <c r="R82" i="7" s="1"/>
  <c r="N72" i="7"/>
  <c r="N71" i="7"/>
  <c r="N70" i="7"/>
  <c r="N69" i="7"/>
  <c r="N68" i="7"/>
  <c r="N67" i="7"/>
  <c r="N66" i="7"/>
  <c r="N65" i="7"/>
  <c r="N64" i="7"/>
  <c r="N63" i="7"/>
  <c r="N62" i="7"/>
  <c r="P61" i="7"/>
  <c r="N61" i="7"/>
  <c r="K9" i="7"/>
  <c r="L9" i="7"/>
  <c r="M9" i="7"/>
  <c r="N9" i="7" a="1"/>
  <c r="N9" i="7" s="1"/>
  <c r="O9" i="7" a="1"/>
  <c r="O9" i="7"/>
  <c r="P9" i="7" a="1"/>
  <c r="P9" i="7"/>
  <c r="Q9" i="7" a="1"/>
  <c r="Q9" i="7"/>
  <c r="R9" i="7" a="1"/>
  <c r="R9" i="7"/>
  <c r="S9" i="7" a="1"/>
  <c r="S9" i="7"/>
  <c r="T9" i="7" a="1"/>
  <c r="T9" i="7" s="1"/>
  <c r="U9" i="7" a="1"/>
  <c r="U9" i="7" s="1"/>
  <c r="V9" i="7" a="1"/>
  <c r="V9" i="7" s="1"/>
  <c r="K10" i="7"/>
  <c r="L10" i="7"/>
  <c r="M10" i="7"/>
  <c r="N10" i="7"/>
  <c r="O10" i="7"/>
  <c r="P10" i="7"/>
  <c r="Q10" i="7"/>
  <c r="R10" i="7"/>
  <c r="S10" i="7"/>
  <c r="T10" i="7"/>
  <c r="U10" i="7"/>
  <c r="V10" i="7"/>
  <c r="K11" i="7"/>
  <c r="L11" i="7"/>
  <c r="M11" i="7"/>
  <c r="N11" i="7"/>
  <c r="O11" i="7"/>
  <c r="P11" i="7"/>
  <c r="Q11" i="7"/>
  <c r="R11" i="7"/>
  <c r="S11" i="7"/>
  <c r="T11" i="7"/>
  <c r="U11" i="7"/>
  <c r="V11" i="7"/>
  <c r="K12" i="7" a="1"/>
  <c r="K12" i="7" s="1"/>
  <c r="L12" i="7"/>
  <c r="M12" i="7"/>
  <c r="N12" i="7"/>
  <c r="O12" i="7"/>
  <c r="P12" i="7"/>
  <c r="Q12" i="7"/>
  <c r="R12" i="7"/>
  <c r="S12" i="7"/>
  <c r="T12" i="7"/>
  <c r="U12" i="7"/>
  <c r="V12" i="7"/>
  <c r="Q82" i="7" a="1"/>
  <c r="Q82" i="7" s="1"/>
  <c r="U61" i="7" l="1"/>
  <c r="S82" i="7"/>
  <c r="P82" i="7"/>
  <c r="T82" i="7"/>
  <c r="N93" i="7"/>
  <c r="N92" i="7"/>
  <c r="N91" i="7"/>
  <c r="N90" i="7"/>
  <c r="N89" i="7"/>
  <c r="N88" i="7"/>
  <c r="N87" i="7"/>
  <c r="N86" i="7"/>
  <c r="N85" i="7"/>
  <c r="N84" i="7"/>
  <c r="N83" i="7"/>
  <c r="N82" i="7"/>
  <c r="U82" i="7" l="1"/>
  <c r="X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82" i="7"/>
  <c r="X94" i="7"/>
  <c r="X95" i="7"/>
  <c r="X96" i="7"/>
  <c r="X97" i="7"/>
  <c r="X98" i="7"/>
  <c r="X99" i="7"/>
  <c r="X100" i="7"/>
  <c r="X101" i="7"/>
  <c r="X102" i="7"/>
  <c r="X83" i="7"/>
  <c r="X84" i="7"/>
  <c r="X85" i="7"/>
  <c r="X86" i="7"/>
  <c r="X87" i="7"/>
  <c r="X88" i="7"/>
  <c r="X89" i="7"/>
  <c r="X90" i="7"/>
  <c r="X91" i="7"/>
  <c r="X92" i="7"/>
  <c r="X93" i="7"/>
  <c r="B31" i="6" l="1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C43" i="2"/>
  <c r="B43" i="2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V20" i="7"/>
  <c r="U20" i="7"/>
  <c r="T20" i="7"/>
  <c r="S20" i="7"/>
  <c r="R20" i="7"/>
  <c r="Q20" i="7"/>
  <c r="P20" i="7"/>
  <c r="O20" i="7"/>
  <c r="N20" i="7"/>
  <c r="M20" i="7"/>
  <c r="L20" i="7"/>
  <c r="K20" i="7" a="1"/>
  <c r="K20" i="7"/>
  <c r="V19" i="7"/>
  <c r="U19" i="7"/>
  <c r="T19" i="7"/>
  <c r="S19" i="7"/>
  <c r="R19" i="7"/>
  <c r="Q19" i="7"/>
  <c r="P19" i="7"/>
  <c r="O19" i="7"/>
  <c r="N19" i="7"/>
  <c r="M19" i="7"/>
  <c r="L19" i="7"/>
  <c r="K19" i="7" a="1"/>
  <c r="K19" i="7"/>
  <c r="V18" i="7"/>
  <c r="U18" i="7"/>
  <c r="T18" i="7"/>
  <c r="S18" i="7"/>
  <c r="R18" i="7"/>
  <c r="Q18" i="7"/>
  <c r="P18" i="7"/>
  <c r="O18" i="7"/>
  <c r="N18" i="7"/>
  <c r="M18" i="7"/>
  <c r="L18" i="7"/>
  <c r="K18" i="7" a="1"/>
  <c r="K18" i="7"/>
  <c r="V17" i="7"/>
  <c r="U17" i="7"/>
  <c r="T17" i="7"/>
  <c r="S17" i="7"/>
  <c r="R17" i="7"/>
  <c r="Q17" i="7"/>
  <c r="P17" i="7"/>
  <c r="O17" i="7"/>
  <c r="N17" i="7"/>
  <c r="M17" i="7"/>
  <c r="L17" i="7"/>
  <c r="K17" i="7" a="1"/>
  <c r="K17" i="7"/>
  <c r="V16" i="7"/>
  <c r="U16" i="7"/>
  <c r="T16" i="7"/>
  <c r="S16" i="7"/>
  <c r="R16" i="7"/>
  <c r="Q16" i="7"/>
  <c r="P16" i="7"/>
  <c r="O16" i="7"/>
  <c r="N16" i="7"/>
  <c r="M16" i="7"/>
  <c r="L16" i="7"/>
  <c r="K16" i="7" a="1"/>
  <c r="K16" i="7"/>
  <c r="V15" i="7"/>
  <c r="U15" i="7"/>
  <c r="T15" i="7"/>
  <c r="S15" i="7"/>
  <c r="R15" i="7"/>
  <c r="Q15" i="7"/>
  <c r="P15" i="7"/>
  <c r="O15" i="7"/>
  <c r="N15" i="7"/>
  <c r="M15" i="7"/>
  <c r="L15" i="7"/>
  <c r="K15" i="7" a="1"/>
  <c r="K15" i="7"/>
  <c r="V14" i="7"/>
  <c r="U14" i="7"/>
  <c r="T14" i="7"/>
  <c r="S14" i="7"/>
  <c r="R14" i="7"/>
  <c r="Q14" i="7"/>
  <c r="P14" i="7"/>
  <c r="O14" i="7"/>
  <c r="N14" i="7"/>
  <c r="M14" i="7"/>
  <c r="L14" i="7"/>
  <c r="K14" i="7" a="1"/>
  <c r="K14" i="7"/>
  <c r="V13" i="7"/>
  <c r="U13" i="7"/>
  <c r="T13" i="7"/>
  <c r="S13" i="7"/>
  <c r="R13" i="7"/>
  <c r="Q13" i="7"/>
  <c r="P13" i="7"/>
  <c r="O13" i="7"/>
  <c r="N13" i="7"/>
  <c r="M13" i="7"/>
  <c r="L13" i="7"/>
  <c r="K13" i="7" a="1"/>
  <c r="K13" i="7"/>
  <c r="E5" i="6"/>
  <c r="F8" i="7" a="1"/>
  <c r="F8" i="7" s="1"/>
  <c r="G8" i="7" a="1"/>
  <c r="G8" i="7" s="1"/>
  <c r="H8" i="7" s="1"/>
  <c r="AG17" i="1"/>
  <c r="AH17" i="1"/>
  <c r="AG16" i="1"/>
  <c r="AH16" i="1"/>
  <c r="AG15" i="1"/>
  <c r="AH15" i="1"/>
  <c r="AG14" i="1"/>
  <c r="AH14" i="1"/>
  <c r="AG13" i="1"/>
  <c r="AH13" i="1"/>
  <c r="AG12" i="1"/>
  <c r="AH12" i="1"/>
  <c r="AG11" i="1"/>
  <c r="AH11" i="1"/>
  <c r="AG10" i="1"/>
  <c r="AH10" i="1"/>
  <c r="AG9" i="1"/>
  <c r="AH9" i="1"/>
  <c r="AG8" i="1"/>
  <c r="AH8" i="1"/>
  <c r="AG7" i="1"/>
  <c r="AH7" i="1"/>
  <c r="AG6" i="1"/>
  <c r="AH6" i="1"/>
  <c r="AF17" i="1"/>
  <c r="AF16" i="1"/>
  <c r="AF15" i="1"/>
  <c r="AF14" i="1"/>
  <c r="AF13" i="1"/>
  <c r="AF12" i="1"/>
  <c r="AF11" i="1"/>
  <c r="AF10" i="1"/>
  <c r="AF9" i="1"/>
  <c r="AF8" i="1"/>
  <c r="AF7" i="1"/>
  <c r="AF6" i="1"/>
  <c r="B19" i="6"/>
  <c r="B18" i="6"/>
  <c r="B17" i="6"/>
  <c r="B16" i="6"/>
  <c r="B15" i="6"/>
  <c r="B14" i="6"/>
  <c r="B13" i="6"/>
  <c r="B12" i="6"/>
  <c r="B11" i="6"/>
  <c r="B10" i="6"/>
  <c r="B9" i="6"/>
  <c r="B8" i="6"/>
  <c r="B19" i="2"/>
  <c r="B18" i="2"/>
  <c r="B17" i="2"/>
  <c r="B16" i="2"/>
  <c r="B15" i="2"/>
  <c r="B14" i="2"/>
  <c r="B13" i="2"/>
  <c r="B12" i="2"/>
  <c r="B11" i="2"/>
  <c r="B10" i="2"/>
  <c r="B9" i="2"/>
  <c r="B8" i="2"/>
  <c r="F8" i="2" s="1" a="1"/>
  <c r="F8" i="2" s="1"/>
  <c r="B17" i="3"/>
  <c r="B16" i="3"/>
  <c r="B15" i="3"/>
  <c r="B14" i="3"/>
  <c r="B13" i="3"/>
  <c r="B12" i="3"/>
  <c r="B11" i="3"/>
  <c r="B10" i="3"/>
  <c r="B9" i="3"/>
  <c r="B8" i="3"/>
  <c r="B7" i="3"/>
  <c r="B6" i="3"/>
  <c r="D8" i="6"/>
  <c r="F8" i="6" a="1"/>
  <c r="F8" i="6" s="1"/>
  <c r="E6" i="3" a="1"/>
  <c r="E6" i="3" s="1"/>
  <c r="E5" i="2" s="1"/>
  <c r="E8" i="2" s="1"/>
  <c r="D6" i="3"/>
  <c r="C4" i="4"/>
  <c r="D4" i="4"/>
  <c r="E4" i="4"/>
  <c r="F4" i="4"/>
  <c r="G4" i="4"/>
  <c r="H4" i="4"/>
  <c r="I4" i="4"/>
  <c r="J4" i="4"/>
  <c r="K4" i="4"/>
  <c r="L4" i="4"/>
  <c r="M4" i="4"/>
  <c r="B4" i="4"/>
  <c r="AM34" i="1"/>
  <c r="AL34" i="1"/>
  <c r="AK34" i="1"/>
  <c r="AJ34" i="1"/>
  <c r="AI34" i="1"/>
  <c r="AH34" i="1"/>
  <c r="AG34" i="1"/>
  <c r="AF34" i="1"/>
  <c r="AE34" i="1"/>
  <c r="AD34" i="1"/>
  <c r="AC34" i="1"/>
  <c r="AB34" i="1" a="1"/>
  <c r="AB34" i="1"/>
  <c r="AM33" i="1"/>
  <c r="AL33" i="1"/>
  <c r="AK33" i="1"/>
  <c r="AJ33" i="1"/>
  <c r="AI33" i="1"/>
  <c r="AH33" i="1"/>
  <c r="AG33" i="1"/>
  <c r="AF33" i="1"/>
  <c r="AE33" i="1"/>
  <c r="AD33" i="1"/>
  <c r="AC33" i="1"/>
  <c r="AB33" i="1" a="1"/>
  <c r="AB33" i="1"/>
  <c r="AM32" i="1"/>
  <c r="AL32" i="1"/>
  <c r="AK32" i="1"/>
  <c r="AJ32" i="1"/>
  <c r="AI32" i="1"/>
  <c r="AH32" i="1"/>
  <c r="AG32" i="1"/>
  <c r="AF32" i="1"/>
  <c r="AE32" i="1"/>
  <c r="AD32" i="1"/>
  <c r="AC32" i="1"/>
  <c r="AB32" i="1" a="1"/>
  <c r="AB32" i="1"/>
  <c r="AM31" i="1"/>
  <c r="AL31" i="1"/>
  <c r="AK31" i="1"/>
  <c r="AJ31" i="1"/>
  <c r="AI31" i="1"/>
  <c r="AH31" i="1"/>
  <c r="AG31" i="1"/>
  <c r="AF31" i="1"/>
  <c r="AE31" i="1"/>
  <c r="AD31" i="1"/>
  <c r="AC31" i="1"/>
  <c r="AB31" i="1" a="1"/>
  <c r="AB31" i="1"/>
  <c r="AM30" i="1"/>
  <c r="AL30" i="1"/>
  <c r="AK30" i="1"/>
  <c r="AJ30" i="1"/>
  <c r="AI30" i="1"/>
  <c r="AH30" i="1"/>
  <c r="AG30" i="1"/>
  <c r="AF30" i="1"/>
  <c r="AE30" i="1"/>
  <c r="AD30" i="1"/>
  <c r="AC30" i="1"/>
  <c r="AB30" i="1" a="1"/>
  <c r="AB30" i="1"/>
  <c r="AM29" i="1"/>
  <c r="AL29" i="1"/>
  <c r="AK29" i="1"/>
  <c r="AJ29" i="1"/>
  <c r="AI29" i="1"/>
  <c r="AH29" i="1"/>
  <c r="AG29" i="1"/>
  <c r="AF29" i="1"/>
  <c r="AE29" i="1"/>
  <c r="AD29" i="1"/>
  <c r="AC29" i="1"/>
  <c r="AB29" i="1" a="1"/>
  <c r="AB29" i="1"/>
  <c r="AM28" i="1"/>
  <c r="AL28" i="1"/>
  <c r="AK28" i="1"/>
  <c r="AJ28" i="1"/>
  <c r="AI28" i="1"/>
  <c r="AH28" i="1"/>
  <c r="AG28" i="1"/>
  <c r="AF28" i="1"/>
  <c r="AE28" i="1"/>
  <c r="AD28" i="1"/>
  <c r="AC28" i="1"/>
  <c r="AB28" i="1" a="1"/>
  <c r="AB28" i="1"/>
  <c r="AM27" i="1"/>
  <c r="AL27" i="1"/>
  <c r="AK27" i="1"/>
  <c r="AJ27" i="1"/>
  <c r="AI27" i="1"/>
  <c r="AH27" i="1"/>
  <c r="AG27" i="1"/>
  <c r="AF27" i="1"/>
  <c r="AE27" i="1"/>
  <c r="AD27" i="1"/>
  <c r="AC27" i="1"/>
  <c r="AB27" i="1" a="1"/>
  <c r="AB27" i="1"/>
  <c r="AM26" i="1"/>
  <c r="AL26" i="1"/>
  <c r="AK26" i="1"/>
  <c r="AJ26" i="1"/>
  <c r="AI26" i="1"/>
  <c r="AH26" i="1"/>
  <c r="AG26" i="1"/>
  <c r="AF26" i="1"/>
  <c r="AE26" i="1"/>
  <c r="AD26" i="1"/>
  <c r="AC26" i="1"/>
  <c r="AB26" i="1" a="1"/>
  <c r="AB26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M23" i="1" a="1"/>
  <c r="AM23" i="1"/>
  <c r="AL23" i="1" a="1"/>
  <c r="AL23" i="1"/>
  <c r="AK23" i="1" a="1"/>
  <c r="AK23" i="1"/>
  <c r="AJ23" i="1" a="1"/>
  <c r="AJ23" i="1"/>
  <c r="AI23" i="1" a="1"/>
  <c r="AI23" i="1"/>
  <c r="AH23" i="1" a="1"/>
  <c r="AH23" i="1"/>
  <c r="AG23" i="1" a="1"/>
  <c r="AG23" i="1"/>
  <c r="AF23" i="1" a="1"/>
  <c r="AF23" i="1"/>
  <c r="AE23" i="1" a="1"/>
  <c r="AE23" i="1"/>
  <c r="AD23" i="1"/>
  <c r="AC23" i="1"/>
  <c r="AB23" i="1"/>
  <c r="AD17" i="1"/>
  <c r="AD7" i="1"/>
  <c r="AD8" i="1"/>
  <c r="AD9" i="1"/>
  <c r="AD6" i="1"/>
  <c r="AC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C8" i="1"/>
  <c r="AC7" i="1"/>
  <c r="AC6" i="1"/>
  <c r="AB17" i="1"/>
  <c r="AB16" i="1"/>
  <c r="AB15" i="1"/>
  <c r="AB14" i="1"/>
  <c r="AB13" i="1"/>
  <c r="AB12" i="1"/>
  <c r="AB11" i="1"/>
  <c r="AB10" i="1"/>
  <c r="AB9" i="1"/>
  <c r="AB8" i="1"/>
  <c r="AB6" i="1"/>
  <c r="AB7" i="1"/>
  <c r="F6" i="3" a="1"/>
  <c r="F6" i="3" s="1"/>
  <c r="G6" i="3" s="1"/>
  <c r="G8" i="6" a="1"/>
  <c r="G8" i="6" s="1"/>
  <c r="H8" i="6" s="1"/>
  <c r="B24" i="4"/>
  <c r="B40" i="4"/>
  <c r="B56" i="4"/>
  <c r="B26" i="4"/>
  <c r="B58" i="4"/>
  <c r="B27" i="4"/>
  <c r="B43" i="4"/>
  <c r="B59" i="4"/>
  <c r="B12" i="4"/>
  <c r="B28" i="4"/>
  <c r="B60" i="4"/>
  <c r="B29" i="4"/>
  <c r="B61" i="4"/>
  <c r="B30" i="4"/>
  <c r="B62" i="4"/>
  <c r="B31" i="4"/>
  <c r="B63" i="4"/>
  <c r="B32" i="4"/>
  <c r="B48" i="4"/>
  <c r="B17" i="4"/>
  <c r="B49" i="4"/>
  <c r="B18" i="4"/>
  <c r="B50" i="4"/>
  <c r="B19" i="4"/>
  <c r="B51" i="4"/>
  <c r="B20" i="4"/>
  <c r="B52" i="4"/>
  <c r="B21" i="4"/>
  <c r="B53" i="4"/>
  <c r="B22" i="4"/>
  <c r="B54" i="4"/>
  <c r="B23" i="4"/>
  <c r="B39" i="4"/>
  <c r="B25" i="4"/>
  <c r="B41" i="4"/>
  <c r="B57" i="4"/>
  <c r="B42" i="4"/>
  <c r="B5" i="4"/>
  <c r="B44" i="4"/>
  <c r="B13" i="4"/>
  <c r="B45" i="4"/>
  <c r="B14" i="4"/>
  <c r="B46" i="4"/>
  <c r="B15" i="4"/>
  <c r="B47" i="4"/>
  <c r="B16" i="4"/>
  <c r="B64" i="4"/>
  <c r="B33" i="4"/>
  <c r="B65" i="4"/>
  <c r="B34" i="4"/>
  <c r="B66" i="4"/>
  <c r="B35" i="4"/>
  <c r="B67" i="4"/>
  <c r="B36" i="4"/>
  <c r="B68" i="4"/>
  <c r="B37" i="4"/>
  <c r="B69" i="4"/>
  <c r="B38" i="4"/>
  <c r="B11" i="4"/>
  <c r="B55" i="4"/>
  <c r="D8" i="2"/>
  <c r="N4" i="1"/>
  <c r="O4" i="1"/>
  <c r="P4" i="1"/>
  <c r="Q4" i="1"/>
  <c r="R4" i="1"/>
  <c r="S4" i="1"/>
  <c r="T4" i="1"/>
  <c r="U4" i="1"/>
  <c r="V4" i="1"/>
  <c r="W4" i="1"/>
  <c r="X4" i="1"/>
  <c r="Y4" i="1"/>
  <c r="N5" i="1"/>
  <c r="O5" i="1"/>
  <c r="P5" i="1"/>
  <c r="Q5" i="1"/>
  <c r="R5" i="1"/>
  <c r="S5" i="1"/>
  <c r="T5" i="1"/>
  <c r="U5" i="1"/>
  <c r="V5" i="1"/>
  <c r="W5" i="1"/>
  <c r="X5" i="1"/>
  <c r="Y5" i="1"/>
  <c r="N6" i="1"/>
  <c r="O6" i="1"/>
  <c r="P6" i="1"/>
  <c r="Q6" i="1"/>
  <c r="R6" i="1"/>
  <c r="S6" i="1"/>
  <c r="T6" i="1"/>
  <c r="U6" i="1"/>
  <c r="V6" i="1"/>
  <c r="W6" i="1"/>
  <c r="X6" i="1"/>
  <c r="Y6" i="1"/>
  <c r="N7" i="1"/>
  <c r="O7" i="1"/>
  <c r="P7" i="1"/>
  <c r="Q7" i="1"/>
  <c r="R7" i="1"/>
  <c r="S7" i="1"/>
  <c r="T7" i="1"/>
  <c r="U7" i="1"/>
  <c r="V7" i="1"/>
  <c r="W7" i="1"/>
  <c r="X7" i="1"/>
  <c r="Y7" i="1"/>
  <c r="N8" i="1"/>
  <c r="O8" i="1"/>
  <c r="P8" i="1"/>
  <c r="Q8" i="1"/>
  <c r="R8" i="1"/>
  <c r="S8" i="1"/>
  <c r="T8" i="1"/>
  <c r="U8" i="1"/>
  <c r="V8" i="1"/>
  <c r="W8" i="1"/>
  <c r="X8" i="1"/>
  <c r="Y8" i="1"/>
  <c r="N9" i="1"/>
  <c r="O9" i="1"/>
  <c r="P9" i="1"/>
  <c r="Q9" i="1"/>
  <c r="R9" i="1"/>
  <c r="S9" i="1"/>
  <c r="T9" i="1"/>
  <c r="U9" i="1"/>
  <c r="V9" i="1"/>
  <c r="W9" i="1"/>
  <c r="X9" i="1"/>
  <c r="Y9" i="1"/>
  <c r="N10" i="1"/>
  <c r="O10" i="1"/>
  <c r="P10" i="1"/>
  <c r="Q10" i="1"/>
  <c r="R10" i="1"/>
  <c r="S10" i="1"/>
  <c r="T10" i="1"/>
  <c r="U10" i="1"/>
  <c r="V10" i="1"/>
  <c r="W10" i="1"/>
  <c r="X10" i="1"/>
  <c r="Y10" i="1"/>
  <c r="N11" i="1"/>
  <c r="O11" i="1"/>
  <c r="P11" i="1"/>
  <c r="Q11" i="1"/>
  <c r="R11" i="1"/>
  <c r="S11" i="1"/>
  <c r="T11" i="1"/>
  <c r="U11" i="1"/>
  <c r="V11" i="1"/>
  <c r="W11" i="1"/>
  <c r="X11" i="1"/>
  <c r="Y11" i="1"/>
  <c r="N12" i="1"/>
  <c r="O12" i="1"/>
  <c r="P12" i="1"/>
  <c r="Q12" i="1"/>
  <c r="R12" i="1"/>
  <c r="S12" i="1"/>
  <c r="T12" i="1"/>
  <c r="U12" i="1"/>
  <c r="V12" i="1"/>
  <c r="W12" i="1"/>
  <c r="X12" i="1"/>
  <c r="Y12" i="1"/>
  <c r="N13" i="1"/>
  <c r="O13" i="1"/>
  <c r="P13" i="1"/>
  <c r="Q13" i="1"/>
  <c r="R13" i="1"/>
  <c r="S13" i="1"/>
  <c r="T13" i="1"/>
  <c r="U13" i="1"/>
  <c r="V13" i="1"/>
  <c r="W13" i="1"/>
  <c r="X13" i="1"/>
  <c r="Y13" i="1"/>
  <c r="N14" i="1"/>
  <c r="O14" i="1"/>
  <c r="P14" i="1"/>
  <c r="Q14" i="1"/>
  <c r="R14" i="1"/>
  <c r="S14" i="1"/>
  <c r="T14" i="1"/>
  <c r="U14" i="1"/>
  <c r="V14" i="1"/>
  <c r="W14" i="1"/>
  <c r="X14" i="1"/>
  <c r="Y14" i="1"/>
  <c r="N15" i="1"/>
  <c r="O15" i="1"/>
  <c r="P15" i="1"/>
  <c r="Q15" i="1"/>
  <c r="R15" i="1"/>
  <c r="S15" i="1"/>
  <c r="T15" i="1"/>
  <c r="U15" i="1"/>
  <c r="V15" i="1"/>
  <c r="W15" i="1"/>
  <c r="X15" i="1"/>
  <c r="Y15" i="1"/>
  <c r="N16" i="1"/>
  <c r="O16" i="1"/>
  <c r="P16" i="1"/>
  <c r="Q16" i="1"/>
  <c r="R16" i="1"/>
  <c r="S16" i="1"/>
  <c r="T16" i="1"/>
  <c r="U16" i="1"/>
  <c r="V16" i="1"/>
  <c r="W16" i="1"/>
  <c r="X16" i="1"/>
  <c r="Y16" i="1"/>
  <c r="N17" i="1"/>
  <c r="O17" i="1"/>
  <c r="P17" i="1"/>
  <c r="Q17" i="1"/>
  <c r="R17" i="1"/>
  <c r="S17" i="1"/>
  <c r="T17" i="1"/>
  <c r="U17" i="1"/>
  <c r="V17" i="1"/>
  <c r="W17" i="1"/>
  <c r="X17" i="1"/>
  <c r="Y17" i="1"/>
  <c r="N18" i="1"/>
  <c r="O18" i="1"/>
  <c r="P18" i="1"/>
  <c r="Q18" i="1"/>
  <c r="R18" i="1"/>
  <c r="S18" i="1"/>
  <c r="T18" i="1"/>
  <c r="U18" i="1"/>
  <c r="V18" i="1"/>
  <c r="W18" i="1"/>
  <c r="X18" i="1"/>
  <c r="Y18" i="1"/>
  <c r="N19" i="1"/>
  <c r="O19" i="1"/>
  <c r="P19" i="1"/>
  <c r="Q19" i="1"/>
  <c r="R19" i="1"/>
  <c r="S19" i="1"/>
  <c r="T19" i="1"/>
  <c r="U19" i="1"/>
  <c r="V19" i="1"/>
  <c r="W19" i="1"/>
  <c r="X19" i="1"/>
  <c r="Y19" i="1"/>
  <c r="N20" i="1"/>
  <c r="O20" i="1"/>
  <c r="P20" i="1"/>
  <c r="Q20" i="1"/>
  <c r="R20" i="1"/>
  <c r="S20" i="1"/>
  <c r="T20" i="1"/>
  <c r="U20" i="1"/>
  <c r="V20" i="1"/>
  <c r="W20" i="1"/>
  <c r="X20" i="1"/>
  <c r="Y20" i="1"/>
  <c r="N21" i="1"/>
  <c r="O21" i="1"/>
  <c r="P21" i="1"/>
  <c r="Q21" i="1"/>
  <c r="R21" i="1"/>
  <c r="S21" i="1"/>
  <c r="T21" i="1"/>
  <c r="U21" i="1"/>
  <c r="V21" i="1"/>
  <c r="W21" i="1"/>
  <c r="X21" i="1"/>
  <c r="Y21" i="1"/>
  <c r="N22" i="1"/>
  <c r="O22" i="1"/>
  <c r="P22" i="1"/>
  <c r="Q22" i="1"/>
  <c r="R22" i="1"/>
  <c r="S22" i="1"/>
  <c r="T22" i="1"/>
  <c r="U22" i="1"/>
  <c r="V22" i="1"/>
  <c r="W22" i="1"/>
  <c r="X22" i="1"/>
  <c r="Y22" i="1"/>
  <c r="N23" i="1"/>
  <c r="O23" i="1"/>
  <c r="P23" i="1"/>
  <c r="Q23" i="1"/>
  <c r="R23" i="1"/>
  <c r="S23" i="1"/>
  <c r="T23" i="1"/>
  <c r="U23" i="1"/>
  <c r="V23" i="1"/>
  <c r="W23" i="1"/>
  <c r="X23" i="1"/>
  <c r="Y23" i="1"/>
  <c r="N24" i="1"/>
  <c r="O24" i="1"/>
  <c r="P24" i="1"/>
  <c r="Q24" i="1"/>
  <c r="R24" i="1"/>
  <c r="S24" i="1"/>
  <c r="T24" i="1"/>
  <c r="U24" i="1"/>
  <c r="V24" i="1"/>
  <c r="W24" i="1"/>
  <c r="X24" i="1"/>
  <c r="Y24" i="1"/>
  <c r="N25" i="1"/>
  <c r="O25" i="1"/>
  <c r="P25" i="1"/>
  <c r="Q25" i="1"/>
  <c r="R25" i="1"/>
  <c r="S25" i="1"/>
  <c r="T25" i="1"/>
  <c r="U25" i="1"/>
  <c r="V25" i="1"/>
  <c r="W25" i="1"/>
  <c r="X25" i="1"/>
  <c r="Y25" i="1"/>
  <c r="N26" i="1"/>
  <c r="O26" i="1"/>
  <c r="P26" i="1"/>
  <c r="Q26" i="1"/>
  <c r="R26" i="1"/>
  <c r="S26" i="1"/>
  <c r="T26" i="1"/>
  <c r="U26" i="1"/>
  <c r="V26" i="1"/>
  <c r="W26" i="1"/>
  <c r="X26" i="1"/>
  <c r="Y26" i="1"/>
  <c r="N27" i="1"/>
  <c r="O27" i="1"/>
  <c r="P27" i="1"/>
  <c r="Q27" i="1"/>
  <c r="R27" i="1"/>
  <c r="S27" i="1"/>
  <c r="T27" i="1"/>
  <c r="U27" i="1"/>
  <c r="V27" i="1"/>
  <c r="W27" i="1"/>
  <c r="X27" i="1"/>
  <c r="Y27" i="1"/>
  <c r="N28" i="1"/>
  <c r="O28" i="1"/>
  <c r="P28" i="1"/>
  <c r="Q28" i="1"/>
  <c r="R28" i="1"/>
  <c r="S28" i="1"/>
  <c r="T28" i="1"/>
  <c r="U28" i="1"/>
  <c r="V28" i="1"/>
  <c r="W28" i="1"/>
  <c r="X28" i="1"/>
  <c r="Y28" i="1"/>
  <c r="N29" i="1"/>
  <c r="O29" i="1"/>
  <c r="P29" i="1"/>
  <c r="Q29" i="1"/>
  <c r="R29" i="1"/>
  <c r="S29" i="1"/>
  <c r="T29" i="1"/>
  <c r="U29" i="1"/>
  <c r="V29" i="1"/>
  <c r="W29" i="1"/>
  <c r="X29" i="1"/>
  <c r="Y29" i="1"/>
  <c r="N30" i="1"/>
  <c r="O30" i="1"/>
  <c r="P30" i="1"/>
  <c r="Q30" i="1"/>
  <c r="R30" i="1"/>
  <c r="S30" i="1"/>
  <c r="T30" i="1"/>
  <c r="U30" i="1"/>
  <c r="V30" i="1"/>
  <c r="W30" i="1"/>
  <c r="X30" i="1"/>
  <c r="Y30" i="1"/>
  <c r="N31" i="1"/>
  <c r="O31" i="1"/>
  <c r="P31" i="1"/>
  <c r="Q31" i="1"/>
  <c r="R31" i="1"/>
  <c r="S31" i="1"/>
  <c r="T31" i="1"/>
  <c r="U31" i="1"/>
  <c r="V31" i="1"/>
  <c r="W31" i="1"/>
  <c r="X31" i="1"/>
  <c r="Y31" i="1"/>
  <c r="N32" i="1"/>
  <c r="O32" i="1"/>
  <c r="P32" i="1"/>
  <c r="Q32" i="1"/>
  <c r="R32" i="1"/>
  <c r="S32" i="1"/>
  <c r="T32" i="1"/>
  <c r="U32" i="1"/>
  <c r="V32" i="1"/>
  <c r="W32" i="1"/>
  <c r="X32" i="1"/>
  <c r="Y32" i="1"/>
  <c r="N33" i="1"/>
  <c r="O33" i="1"/>
  <c r="P33" i="1"/>
  <c r="Q33" i="1"/>
  <c r="R33" i="1"/>
  <c r="S33" i="1"/>
  <c r="T33" i="1"/>
  <c r="U33" i="1"/>
  <c r="V33" i="1"/>
  <c r="W33" i="1"/>
  <c r="X33" i="1"/>
  <c r="Y33" i="1"/>
  <c r="N34" i="1"/>
  <c r="O34" i="1"/>
  <c r="P34" i="1"/>
  <c r="Q34" i="1"/>
  <c r="R34" i="1"/>
  <c r="S34" i="1"/>
  <c r="T34" i="1"/>
  <c r="U34" i="1"/>
  <c r="V34" i="1"/>
  <c r="W34" i="1"/>
  <c r="X34" i="1"/>
  <c r="Y34" i="1"/>
  <c r="N35" i="1"/>
  <c r="O35" i="1"/>
  <c r="P35" i="1"/>
  <c r="Q35" i="1"/>
  <c r="R35" i="1"/>
  <c r="S35" i="1"/>
  <c r="T35" i="1"/>
  <c r="U35" i="1"/>
  <c r="V35" i="1"/>
  <c r="W35" i="1"/>
  <c r="X35" i="1"/>
  <c r="Y35" i="1"/>
  <c r="N36" i="1"/>
  <c r="O36" i="1"/>
  <c r="P36" i="1"/>
  <c r="Q36" i="1"/>
  <c r="R36" i="1"/>
  <c r="S36" i="1"/>
  <c r="T36" i="1"/>
  <c r="U36" i="1"/>
  <c r="V36" i="1"/>
  <c r="W36" i="1"/>
  <c r="X36" i="1"/>
  <c r="Y36" i="1"/>
  <c r="N37" i="1"/>
  <c r="O37" i="1"/>
  <c r="P37" i="1"/>
  <c r="Q37" i="1"/>
  <c r="R37" i="1"/>
  <c r="S37" i="1"/>
  <c r="T37" i="1"/>
  <c r="U37" i="1"/>
  <c r="V37" i="1"/>
  <c r="W37" i="1"/>
  <c r="X37" i="1"/>
  <c r="Y37" i="1"/>
  <c r="N38" i="1"/>
  <c r="O38" i="1"/>
  <c r="P38" i="1"/>
  <c r="Q38" i="1"/>
  <c r="R38" i="1"/>
  <c r="S38" i="1"/>
  <c r="T38" i="1"/>
  <c r="U38" i="1"/>
  <c r="V38" i="1"/>
  <c r="W38" i="1"/>
  <c r="X38" i="1"/>
  <c r="Y38" i="1"/>
  <c r="N39" i="1"/>
  <c r="O39" i="1"/>
  <c r="P39" i="1"/>
  <c r="Q39" i="1"/>
  <c r="R39" i="1"/>
  <c r="S39" i="1"/>
  <c r="T39" i="1"/>
  <c r="U39" i="1"/>
  <c r="V39" i="1"/>
  <c r="W39" i="1"/>
  <c r="X39" i="1"/>
  <c r="Y39" i="1"/>
  <c r="N40" i="1"/>
  <c r="O40" i="1"/>
  <c r="P40" i="1"/>
  <c r="Q40" i="1"/>
  <c r="R40" i="1"/>
  <c r="S40" i="1"/>
  <c r="T40" i="1"/>
  <c r="U40" i="1"/>
  <c r="V40" i="1"/>
  <c r="W40" i="1"/>
  <c r="X40" i="1"/>
  <c r="Y40" i="1"/>
  <c r="N41" i="1"/>
  <c r="O41" i="1"/>
  <c r="P41" i="1"/>
  <c r="Q41" i="1"/>
  <c r="R41" i="1"/>
  <c r="S41" i="1"/>
  <c r="T41" i="1"/>
  <c r="U41" i="1"/>
  <c r="V41" i="1"/>
  <c r="W41" i="1"/>
  <c r="X41" i="1"/>
  <c r="Y41" i="1"/>
  <c r="N42" i="1"/>
  <c r="O42" i="1"/>
  <c r="P42" i="1"/>
  <c r="Q42" i="1"/>
  <c r="R42" i="1"/>
  <c r="S42" i="1"/>
  <c r="T42" i="1"/>
  <c r="U42" i="1"/>
  <c r="V42" i="1"/>
  <c r="W42" i="1"/>
  <c r="X42" i="1"/>
  <c r="Y42" i="1"/>
  <c r="N43" i="1"/>
  <c r="O43" i="1"/>
  <c r="P43" i="1"/>
  <c r="Q43" i="1"/>
  <c r="R43" i="1"/>
  <c r="S43" i="1"/>
  <c r="T43" i="1"/>
  <c r="U43" i="1"/>
  <c r="V43" i="1"/>
  <c r="W43" i="1"/>
  <c r="X43" i="1"/>
  <c r="Y43" i="1"/>
  <c r="N44" i="1"/>
  <c r="O44" i="1"/>
  <c r="P44" i="1"/>
  <c r="Q44" i="1"/>
  <c r="R44" i="1"/>
  <c r="S44" i="1"/>
  <c r="T44" i="1"/>
  <c r="U44" i="1"/>
  <c r="V44" i="1"/>
  <c r="W44" i="1"/>
  <c r="X44" i="1"/>
  <c r="Y44" i="1"/>
  <c r="N45" i="1"/>
  <c r="O45" i="1"/>
  <c r="P45" i="1"/>
  <c r="Q45" i="1"/>
  <c r="R45" i="1"/>
  <c r="S45" i="1"/>
  <c r="T45" i="1"/>
  <c r="U45" i="1"/>
  <c r="V45" i="1"/>
  <c r="W45" i="1"/>
  <c r="X45" i="1"/>
  <c r="Y45" i="1"/>
  <c r="N46" i="1"/>
  <c r="O46" i="1"/>
  <c r="P46" i="1"/>
  <c r="Q46" i="1"/>
  <c r="R46" i="1"/>
  <c r="S46" i="1"/>
  <c r="T46" i="1"/>
  <c r="U46" i="1"/>
  <c r="V46" i="1"/>
  <c r="W46" i="1"/>
  <c r="X46" i="1"/>
  <c r="Y46" i="1"/>
  <c r="N47" i="1"/>
  <c r="O47" i="1"/>
  <c r="P47" i="1"/>
  <c r="Q47" i="1"/>
  <c r="R47" i="1"/>
  <c r="S47" i="1"/>
  <c r="T47" i="1"/>
  <c r="U47" i="1"/>
  <c r="V47" i="1"/>
  <c r="W47" i="1"/>
  <c r="X47" i="1"/>
  <c r="Y47" i="1"/>
  <c r="N48" i="1"/>
  <c r="O48" i="1"/>
  <c r="P48" i="1"/>
  <c r="Q48" i="1"/>
  <c r="R48" i="1"/>
  <c r="S48" i="1"/>
  <c r="T48" i="1"/>
  <c r="U48" i="1"/>
  <c r="V48" i="1"/>
  <c r="W48" i="1"/>
  <c r="X48" i="1"/>
  <c r="Y48" i="1"/>
  <c r="N49" i="1"/>
  <c r="O49" i="1"/>
  <c r="P49" i="1"/>
  <c r="Q49" i="1"/>
  <c r="R49" i="1"/>
  <c r="S49" i="1"/>
  <c r="T49" i="1"/>
  <c r="U49" i="1"/>
  <c r="V49" i="1"/>
  <c r="W49" i="1"/>
  <c r="X49" i="1"/>
  <c r="Y49" i="1"/>
  <c r="N50" i="1"/>
  <c r="O50" i="1"/>
  <c r="P50" i="1"/>
  <c r="Q50" i="1"/>
  <c r="R50" i="1"/>
  <c r="S50" i="1"/>
  <c r="T50" i="1"/>
  <c r="U50" i="1"/>
  <c r="V50" i="1"/>
  <c r="W50" i="1"/>
  <c r="X50" i="1"/>
  <c r="Y50" i="1"/>
  <c r="N51" i="1"/>
  <c r="O51" i="1"/>
  <c r="P51" i="1"/>
  <c r="Q51" i="1"/>
  <c r="R51" i="1"/>
  <c r="S51" i="1"/>
  <c r="T51" i="1"/>
  <c r="U51" i="1"/>
  <c r="V51" i="1"/>
  <c r="W51" i="1"/>
  <c r="X51" i="1"/>
  <c r="Y51" i="1"/>
  <c r="N52" i="1"/>
  <c r="O52" i="1"/>
  <c r="P52" i="1"/>
  <c r="Q52" i="1"/>
  <c r="R52" i="1"/>
  <c r="S52" i="1"/>
  <c r="T52" i="1"/>
  <c r="U52" i="1"/>
  <c r="V52" i="1"/>
  <c r="W52" i="1"/>
  <c r="X52" i="1"/>
  <c r="Y52" i="1"/>
  <c r="N53" i="1"/>
  <c r="O53" i="1"/>
  <c r="P53" i="1"/>
  <c r="Q53" i="1"/>
  <c r="R53" i="1"/>
  <c r="S53" i="1"/>
  <c r="T53" i="1"/>
  <c r="U53" i="1"/>
  <c r="V53" i="1"/>
  <c r="W53" i="1"/>
  <c r="X53" i="1"/>
  <c r="Y53" i="1"/>
  <c r="N54" i="1"/>
  <c r="O54" i="1"/>
  <c r="P54" i="1"/>
  <c r="Q54" i="1"/>
  <c r="R54" i="1"/>
  <c r="S54" i="1"/>
  <c r="T54" i="1"/>
  <c r="U54" i="1"/>
  <c r="V54" i="1"/>
  <c r="W54" i="1"/>
  <c r="X54" i="1"/>
  <c r="Y54" i="1"/>
  <c r="N55" i="1"/>
  <c r="O55" i="1"/>
  <c r="P55" i="1"/>
  <c r="Q55" i="1"/>
  <c r="R55" i="1"/>
  <c r="S55" i="1"/>
  <c r="T55" i="1"/>
  <c r="U55" i="1"/>
  <c r="V55" i="1"/>
  <c r="W55" i="1"/>
  <c r="X55" i="1"/>
  <c r="Y55" i="1"/>
  <c r="N56" i="1"/>
  <c r="O56" i="1"/>
  <c r="P56" i="1"/>
  <c r="Q56" i="1"/>
  <c r="R56" i="1"/>
  <c r="S56" i="1"/>
  <c r="T56" i="1"/>
  <c r="U56" i="1"/>
  <c r="V56" i="1"/>
  <c r="W56" i="1"/>
  <c r="X56" i="1"/>
  <c r="Y56" i="1"/>
  <c r="N57" i="1"/>
  <c r="O57" i="1"/>
  <c r="P57" i="1"/>
  <c r="Q57" i="1"/>
  <c r="R57" i="1"/>
  <c r="S57" i="1"/>
  <c r="T57" i="1"/>
  <c r="U57" i="1"/>
  <c r="V57" i="1"/>
  <c r="W57" i="1"/>
  <c r="X57" i="1"/>
  <c r="Y57" i="1"/>
  <c r="N58" i="1"/>
  <c r="O58" i="1"/>
  <c r="P58" i="1"/>
  <c r="Q58" i="1"/>
  <c r="R58" i="1"/>
  <c r="S58" i="1"/>
  <c r="T58" i="1"/>
  <c r="U58" i="1"/>
  <c r="V58" i="1"/>
  <c r="W58" i="1"/>
  <c r="X58" i="1"/>
  <c r="Y58" i="1"/>
  <c r="N59" i="1"/>
  <c r="O59" i="1"/>
  <c r="P59" i="1"/>
  <c r="Q59" i="1"/>
  <c r="R59" i="1"/>
  <c r="S59" i="1"/>
  <c r="T59" i="1"/>
  <c r="U59" i="1"/>
  <c r="V59" i="1"/>
  <c r="W59" i="1"/>
  <c r="X59" i="1"/>
  <c r="Y59" i="1"/>
  <c r="N60" i="1"/>
  <c r="O60" i="1"/>
  <c r="P60" i="1"/>
  <c r="Q60" i="1"/>
  <c r="R60" i="1"/>
  <c r="S60" i="1"/>
  <c r="T60" i="1"/>
  <c r="U60" i="1"/>
  <c r="V60" i="1"/>
  <c r="W60" i="1"/>
  <c r="X60" i="1"/>
  <c r="Y60" i="1"/>
  <c r="N61" i="1"/>
  <c r="O61" i="1"/>
  <c r="P61" i="1"/>
  <c r="Q61" i="1"/>
  <c r="R61" i="1"/>
  <c r="S61" i="1"/>
  <c r="T61" i="1"/>
  <c r="U61" i="1"/>
  <c r="V61" i="1"/>
  <c r="W61" i="1"/>
  <c r="X61" i="1"/>
  <c r="Y61" i="1"/>
  <c r="Y3" i="1"/>
  <c r="O3" i="1"/>
  <c r="P3" i="1"/>
  <c r="Q3" i="1"/>
  <c r="R3" i="1"/>
  <c r="S3" i="1"/>
  <c r="T3" i="1"/>
  <c r="U3" i="1"/>
  <c r="V3" i="1"/>
  <c r="W3" i="1"/>
  <c r="X3" i="1"/>
  <c r="N3" i="1"/>
  <c r="C4" i="5"/>
  <c r="C5" i="5"/>
  <c r="C6" i="5"/>
  <c r="C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<sst xmlns="http://schemas.openxmlformats.org/spreadsheetml/2006/main" count="763" uniqueCount="80">
  <si>
    <t>Date</t>
  </si>
  <si>
    <t>BN.PA</t>
  </si>
  <si>
    <t>BNP.PA</t>
  </si>
  <si>
    <t>CA.PA</t>
  </si>
  <si>
    <t>CS.PA</t>
  </si>
  <si>
    <t>DG.PA</t>
  </si>
  <si>
    <t>EN.PA</t>
  </si>
  <si>
    <t>ENGI.PA</t>
  </si>
  <si>
    <t>KER.PA</t>
  </si>
  <si>
    <t>ML.PA</t>
  </si>
  <si>
    <t>OR.PA</t>
  </si>
  <si>
    <t>SGO.PA</t>
  </si>
  <si>
    <t>TTE.PA</t>
  </si>
  <si>
    <t>r_BN.PA</t>
  </si>
  <si>
    <t>r_BNP.PA</t>
  </si>
  <si>
    <t>r_CA.PA</t>
  </si>
  <si>
    <t>r_CS.PA</t>
  </si>
  <si>
    <t>r_DG.PA</t>
  </si>
  <si>
    <t>r_EN.PA</t>
  </si>
  <si>
    <t>r_ENGI.PA</t>
  </si>
  <si>
    <t>r_KER.PA</t>
  </si>
  <si>
    <t>r_ML.PA</t>
  </si>
  <si>
    <t>r_OR.PA</t>
  </si>
  <si>
    <t>r_SGO.PA</t>
  </si>
  <si>
    <t>r_TTE.PA</t>
  </si>
  <si>
    <t>COVARIANCE</t>
  </si>
  <si>
    <t>CORRELATION</t>
  </si>
  <si>
    <t>Variance</t>
  </si>
  <si>
    <t xml:space="preserve">STATISTIQUES UNIVARIEES </t>
  </si>
  <si>
    <t>QUESTION 1</t>
  </si>
  <si>
    <t>average</t>
  </si>
  <si>
    <t>SD</t>
  </si>
  <si>
    <t>constraint</t>
  </si>
  <si>
    <t>var(Rp,m)</t>
  </si>
  <si>
    <t>E[Rp.m]</t>
  </si>
  <si>
    <t>SD(Rp,m)</t>
  </si>
  <si>
    <r>
      <t>weight (</t>
    </r>
    <r>
      <rPr>
        <b/>
        <i/>
        <sz val="11"/>
        <color theme="4" tint="-0.499984740745262"/>
        <rFont val="Calibri"/>
        <family val="2"/>
        <scheme val="minor"/>
      </rPr>
      <t>m</t>
    </r>
    <r>
      <rPr>
        <b/>
        <sz val="11"/>
        <color theme="4" tint="-0.499984740745262"/>
        <rFont val="Calibri"/>
        <family val="2"/>
        <scheme val="minor"/>
      </rPr>
      <t>)</t>
    </r>
  </si>
  <si>
    <t>r_Portfolio</t>
  </si>
  <si>
    <t>-</t>
  </si>
  <si>
    <t xml:space="preserve">Contrainte </t>
  </si>
  <si>
    <t>QUESTION 4</t>
  </si>
  <si>
    <t>QUESTION 3</t>
  </si>
  <si>
    <t>target return</t>
  </si>
  <si>
    <t>QUESTION 2</t>
  </si>
  <si>
    <t>QUESTION 6</t>
  </si>
  <si>
    <t>QUESTION 5</t>
  </si>
  <si>
    <t>Résultat des solveurs :</t>
  </si>
  <si>
    <t xml:space="preserve">Volatilité </t>
  </si>
  <si>
    <t xml:space="preserve">rf : </t>
  </si>
  <si>
    <t>Portefeuille de volatilité minimale</t>
  </si>
  <si>
    <t xml:space="preserve">Rentabilité du portefeuille de variance minimale : </t>
  </si>
  <si>
    <t>&gt; solveur ne parvient plus à trouver de solution</t>
  </si>
  <si>
    <t xml:space="preserve">Rentabilité </t>
  </si>
  <si>
    <t>rf</t>
  </si>
  <si>
    <t xml:space="preserve">Annuelle : </t>
  </si>
  <si>
    <t>actifs</t>
  </si>
  <si>
    <t>Mensuelle</t>
  </si>
  <si>
    <t>Annuelle</t>
  </si>
  <si>
    <t>Rentabilité moyenne du portefeuille</t>
  </si>
  <si>
    <t>Ecart-type des rentabilités du portefeuille</t>
  </si>
  <si>
    <t>Rentabilité moyenne  annuelle</t>
  </si>
  <si>
    <t xml:space="preserve"> </t>
  </si>
  <si>
    <t>Portefeuille chapitre précédent</t>
  </si>
  <si>
    <t>xt</t>
  </si>
  <si>
    <t>E[Rpx]</t>
  </si>
  <si>
    <t>SD(Rpx)</t>
  </si>
  <si>
    <t>weight (t)</t>
  </si>
  <si>
    <t>E[Rp,t]</t>
  </si>
  <si>
    <t>Var(Rp,t)</t>
  </si>
  <si>
    <t>SD(Rp,t)</t>
  </si>
  <si>
    <t>E[Rp,t]-rf</t>
  </si>
  <si>
    <t>slope</t>
  </si>
  <si>
    <t>Frontière efficiente avec actif sans risque avec vente à découvert</t>
  </si>
  <si>
    <t>Frontière efficiente avec actif sans risque sans vente à découvert</t>
  </si>
  <si>
    <t xml:space="preserve">Frontière efficiente des portefeuilles risqués avec vente à découvert </t>
  </si>
  <si>
    <t xml:space="preserve">Frontière efficiente des portefeuilles risqués sans vente à découvert </t>
  </si>
  <si>
    <t>Portefeuille tangent</t>
  </si>
  <si>
    <t xml:space="preserve"> sans vente à découvert :</t>
  </si>
  <si>
    <t xml:space="preserve"> avec vente à découvert :</t>
  </si>
  <si>
    <t>weight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</si>
</sst>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%"/>
    <numFmt numFmtId="166" formatCode="0.0%"/>
    <numFmt numFmtId="167" formatCode="0.00000"/>
    <numFmt numFmtId="168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2"/>
      <name val="Arial"/>
      <family val="2"/>
    </font>
    <font>
      <sz val="12"/>
      <color theme="4" tint="-0.249977111117893"/>
      <name val="Arial"/>
      <family val="2"/>
    </font>
    <font>
      <b/>
      <i/>
      <sz val="11"/>
      <color theme="4" tint="-0.499984740745262"/>
      <name val="Calibri"/>
      <family val="2"/>
      <scheme val="minor"/>
    </font>
    <font>
      <b/>
      <sz val="12"/>
      <color theme="4" tint="-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theme="4" tint="-0.49998474074526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2"/>
      </left>
      <right style="thin">
        <color theme="2"/>
      </right>
      <top/>
      <bottom style="medium">
        <color theme="4" tint="-0.499984740745262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4" tint="-0.499984740745262"/>
      </left>
      <right/>
      <top style="medium">
        <color theme="4" tint="-0.499984740745262"/>
      </top>
      <bottom/>
      <diagonal/>
    </border>
    <border>
      <left style="thin">
        <color theme="4" tint="-0.499984740745262"/>
      </left>
      <right/>
      <top/>
      <bottom style="medium">
        <color theme="4" tint="-0.499984740745262"/>
      </bottom>
      <diagonal/>
    </border>
    <border>
      <left/>
      <right style="thin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2"/>
      </left>
      <right/>
      <top style="thin">
        <color theme="2"/>
      </top>
      <bottom style="medium">
        <color theme="4" tint="-0.499984740745262"/>
      </bottom>
      <diagonal/>
    </border>
    <border>
      <left/>
      <right style="thin">
        <color theme="2"/>
      </right>
      <top style="thin">
        <color theme="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medium">
        <color theme="4" tint="-0.499984740745262"/>
      </top>
      <bottom/>
      <diagonal/>
    </border>
    <border>
      <left/>
      <right style="thin">
        <color theme="2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3" fillId="2" borderId="1" xfId="0" applyFont="1" applyFill="1" applyBorder="1" applyAlignment="1">
      <alignment horizontal="center" vertical="top"/>
    </xf>
    <xf numFmtId="0" fontId="3" fillId="4" borderId="1" xfId="0" applyFont="1" applyFill="1" applyBorder="1" applyAlignment="1">
      <alignment horizontal="center" vertical="top"/>
    </xf>
    <xf numFmtId="164" fontId="0" fillId="5" borderId="0" xfId="0" applyNumberFormat="1" applyFont="1" applyFill="1"/>
    <xf numFmtId="0" fontId="3" fillId="2" borderId="2" xfId="0" applyFont="1" applyFill="1" applyBorder="1" applyAlignment="1">
      <alignment horizontal="center" vertical="top"/>
    </xf>
    <xf numFmtId="165" fontId="5" fillId="0" borderId="0" xfId="1" applyNumberFormat="1" applyFont="1"/>
    <xf numFmtId="0" fontId="6" fillId="0" borderId="3" xfId="0" applyFont="1" applyFill="1" applyBorder="1" applyAlignment="1">
      <alignment horizontal="right" vertical="top"/>
    </xf>
    <xf numFmtId="0" fontId="4" fillId="0" borderId="4" xfId="0" applyFont="1" applyFill="1" applyBorder="1"/>
    <xf numFmtId="0" fontId="6" fillId="0" borderId="5" xfId="0" applyFont="1" applyFill="1" applyBorder="1" applyAlignment="1">
      <alignment horizontal="center" vertical="top"/>
    </xf>
    <xf numFmtId="0" fontId="4" fillId="5" borderId="4" xfId="0" applyFont="1" applyFill="1" applyBorder="1"/>
    <xf numFmtId="0" fontId="4" fillId="0" borderId="0" xfId="0" applyFont="1" applyFill="1" applyBorder="1" applyAlignment="1"/>
    <xf numFmtId="0" fontId="4" fillId="5" borderId="5" xfId="0" applyFont="1" applyFill="1" applyBorder="1"/>
    <xf numFmtId="0" fontId="4" fillId="0" borderId="3" xfId="0" applyFont="1" applyFill="1" applyBorder="1" applyAlignment="1"/>
    <xf numFmtId="0" fontId="4" fillId="5" borderId="0" xfId="0" applyFont="1" applyFill="1" applyBorder="1" applyAlignment="1"/>
    <xf numFmtId="0" fontId="4" fillId="5" borderId="8" xfId="0" applyFont="1" applyFill="1" applyBorder="1" applyAlignment="1"/>
    <xf numFmtId="0" fontId="4" fillId="5" borderId="9" xfId="0" applyFont="1" applyFill="1" applyBorder="1" applyAlignment="1"/>
    <xf numFmtId="0" fontId="7" fillId="0" borderId="0" xfId="0" applyFont="1"/>
    <xf numFmtId="0" fontId="1" fillId="0" borderId="0" xfId="0" applyFont="1"/>
    <xf numFmtId="0" fontId="6" fillId="0" borderId="0" xfId="0" applyFont="1"/>
    <xf numFmtId="0" fontId="6" fillId="0" borderId="7" xfId="0" applyFont="1" applyFill="1" applyBorder="1" applyAlignment="1"/>
    <xf numFmtId="165" fontId="4" fillId="5" borderId="0" xfId="0" applyNumberFormat="1" applyFont="1" applyFill="1"/>
    <xf numFmtId="165" fontId="4" fillId="5" borderId="8" xfId="0" applyNumberFormat="1" applyFont="1" applyFill="1" applyBorder="1"/>
    <xf numFmtId="165" fontId="4" fillId="5" borderId="9" xfId="0" applyNumberFormat="1" applyFont="1" applyFill="1" applyBorder="1"/>
    <xf numFmtId="9" fontId="8" fillId="3" borderId="0" xfId="1" applyFont="1" applyFill="1"/>
    <xf numFmtId="9" fontId="8" fillId="3" borderId="9" xfId="1" applyFont="1" applyFill="1" applyBorder="1"/>
    <xf numFmtId="9" fontId="8" fillId="3" borderId="10" xfId="1" applyFont="1" applyFill="1" applyBorder="1"/>
    <xf numFmtId="165" fontId="4" fillId="0" borderId="0" xfId="1" applyNumberFormat="1" applyFont="1"/>
    <xf numFmtId="0" fontId="0" fillId="0" borderId="0" xfId="0" applyAlignment="1">
      <alignment horizontal="center" vertical="center"/>
    </xf>
    <xf numFmtId="0" fontId="4" fillId="0" borderId="0" xfId="0" quotePrefix="1" applyFont="1" applyAlignment="1">
      <alignment horizontal="left"/>
    </xf>
    <xf numFmtId="9" fontId="6" fillId="5" borderId="0" xfId="0" applyNumberFormat="1" applyFont="1" applyFill="1"/>
    <xf numFmtId="0" fontId="0" fillId="0" borderId="9" xfId="0" applyBorder="1"/>
    <xf numFmtId="0" fontId="6" fillId="0" borderId="14" xfId="0" applyFont="1" applyFill="1" applyBorder="1" applyAlignment="1">
      <alignment horizontal="left" vertical="top"/>
    </xf>
    <xf numFmtId="0" fontId="6" fillId="0" borderId="9" xfId="0" applyFont="1" applyBorder="1" applyAlignment="1">
      <alignment horizontal="center"/>
    </xf>
    <xf numFmtId="0" fontId="4" fillId="0" borderId="0" xfId="0" applyFont="1"/>
    <xf numFmtId="0" fontId="6" fillId="0" borderId="1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9" fontId="8" fillId="3" borderId="0" xfId="1" applyFont="1" applyFill="1" applyAlignment="1">
      <alignment vertical="center"/>
    </xf>
    <xf numFmtId="9" fontId="8" fillId="3" borderId="10" xfId="1" applyFont="1" applyFill="1" applyBorder="1" applyAlignment="1">
      <alignment vertical="center"/>
    </xf>
    <xf numFmtId="10" fontId="6" fillId="5" borderId="0" xfId="0" applyNumberFormat="1" applyFont="1" applyFill="1"/>
    <xf numFmtId="165" fontId="8" fillId="3" borderId="10" xfId="1" applyNumberFormat="1" applyFont="1" applyFill="1" applyBorder="1"/>
    <xf numFmtId="165" fontId="8" fillId="3" borderId="10" xfId="0" applyNumberFormat="1" applyFont="1" applyFill="1" applyBorder="1"/>
    <xf numFmtId="165" fontId="8" fillId="3" borderId="10" xfId="1" applyNumberFormat="1" applyFont="1" applyFill="1" applyBorder="1" applyAlignment="1">
      <alignment vertical="center"/>
    </xf>
    <xf numFmtId="9" fontId="4" fillId="0" borderId="0" xfId="1" applyNumberFormat="1" applyFont="1"/>
    <xf numFmtId="0" fontId="6" fillId="0" borderId="15" xfId="0" applyFont="1" applyFill="1" applyBorder="1" applyAlignment="1">
      <alignment horizontal="right" vertical="top"/>
    </xf>
    <xf numFmtId="165" fontId="6" fillId="5" borderId="8" xfId="0" applyNumberFormat="1" applyFont="1" applyFill="1" applyBorder="1"/>
    <xf numFmtId="9" fontId="10" fillId="3" borderId="9" xfId="1" applyFont="1" applyFill="1" applyBorder="1"/>
    <xf numFmtId="0" fontId="6" fillId="0" borderId="5" xfId="0" applyFont="1" applyFill="1" applyBorder="1" applyAlignment="1">
      <alignment horizontal="center" vertical="center" wrapText="1"/>
    </xf>
    <xf numFmtId="165" fontId="4" fillId="0" borderId="0" xfId="1" applyNumberFormat="1" applyFont="1" applyAlignment="1">
      <alignment vertical="top"/>
    </xf>
    <xf numFmtId="165" fontId="4" fillId="0" borderId="0" xfId="1" applyNumberFormat="1" applyFont="1" applyAlignment="1">
      <alignment vertical="top" wrapText="1"/>
    </xf>
    <xf numFmtId="0" fontId="6" fillId="0" borderId="5" xfId="0" applyFont="1" applyFill="1" applyBorder="1" applyAlignment="1">
      <alignment horizontal="right" vertical="top"/>
    </xf>
    <xf numFmtId="10" fontId="8" fillId="3" borderId="10" xfId="1" applyNumberFormat="1" applyFont="1" applyFill="1" applyBorder="1"/>
    <xf numFmtId="165" fontId="6" fillId="5" borderId="0" xfId="0" applyNumberFormat="1" applyFont="1" applyFill="1"/>
    <xf numFmtId="0" fontId="6" fillId="3" borderId="20" xfId="0" applyFont="1" applyFill="1" applyBorder="1"/>
    <xf numFmtId="0" fontId="6" fillId="3" borderId="9" xfId="0" applyFont="1" applyFill="1" applyBorder="1"/>
    <xf numFmtId="165" fontId="4" fillId="0" borderId="19" xfId="1" applyNumberFormat="1" applyFont="1" applyBorder="1"/>
    <xf numFmtId="165" fontId="4" fillId="0" borderId="18" xfId="1" applyNumberFormat="1" applyFont="1" applyBorder="1"/>
    <xf numFmtId="0" fontId="6" fillId="0" borderId="12" xfId="0" applyFont="1" applyFill="1" applyBorder="1" applyAlignment="1">
      <alignment horizontal="center" vertical="top"/>
    </xf>
    <xf numFmtId="0" fontId="0" fillId="0" borderId="0" xfId="0"/>
    <xf numFmtId="0" fontId="6" fillId="0" borderId="21" xfId="0" applyFont="1" applyFill="1" applyBorder="1" applyAlignment="1">
      <alignment horizontal="center" vertical="top"/>
    </xf>
    <xf numFmtId="0" fontId="6" fillId="0" borderId="22" xfId="0" applyFont="1" applyFill="1" applyBorder="1" applyAlignment="1">
      <alignment horizontal="center" vertical="top"/>
    </xf>
    <xf numFmtId="0" fontId="0" fillId="0" borderId="0" xfId="0"/>
    <xf numFmtId="167" fontId="0" fillId="0" borderId="0" xfId="0" applyNumberFormat="1"/>
    <xf numFmtId="166" fontId="4" fillId="3" borderId="0" xfId="1" applyNumberFormat="1" applyFont="1" applyFill="1"/>
    <xf numFmtId="165" fontId="4" fillId="3" borderId="0" xfId="1" applyNumberFormat="1" applyFont="1" applyFill="1"/>
    <xf numFmtId="9" fontId="4" fillId="3" borderId="0" xfId="1" applyNumberFormat="1" applyFont="1" applyFill="1"/>
    <xf numFmtId="0" fontId="0" fillId="0" borderId="0" xfId="0"/>
    <xf numFmtId="0" fontId="7" fillId="0" borderId="0" xfId="0" applyFont="1"/>
    <xf numFmtId="10" fontId="8" fillId="3" borderId="0" xfId="1" applyNumberFormat="1" applyFont="1" applyFill="1"/>
    <xf numFmtId="10" fontId="8" fillId="3" borderId="9" xfId="1" applyNumberFormat="1" applyFont="1" applyFill="1" applyBorder="1"/>
    <xf numFmtId="168" fontId="8" fillId="3" borderId="10" xfId="1" applyNumberFormat="1" applyFont="1" applyFill="1" applyBorder="1"/>
    <xf numFmtId="165" fontId="4" fillId="3" borderId="11" xfId="1" applyNumberFormat="1" applyFont="1" applyFill="1" applyBorder="1"/>
    <xf numFmtId="0" fontId="6" fillId="0" borderId="14" xfId="0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3" borderId="6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left"/>
    </xf>
    <xf numFmtId="10" fontId="6" fillId="3" borderId="0" xfId="1" applyNumberFormat="1" applyFont="1" applyFill="1" applyBorder="1" applyAlignment="1">
      <alignment horizontal="left"/>
    </xf>
    <xf numFmtId="0" fontId="6" fillId="0" borderId="2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right" wrapText="1"/>
    </xf>
    <xf numFmtId="0" fontId="3" fillId="2" borderId="17" xfId="0" applyFont="1" applyFill="1" applyBorder="1" applyAlignment="1">
      <alignment horizontal="right" wrapText="1"/>
    </xf>
    <xf numFmtId="0" fontId="3" fillId="2" borderId="13" xfId="0" applyFont="1" applyFill="1" applyBorder="1" applyAlignment="1">
      <alignment horizontal="right" wrapText="1"/>
    </xf>
    <xf numFmtId="0" fontId="6" fillId="0" borderId="0" xfId="0" applyFont="1" applyAlignment="1">
      <alignment horizontal="left" vertical="center"/>
    </xf>
    <xf numFmtId="0" fontId="6" fillId="3" borderId="14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26" xfId="0" applyFont="1" applyFill="1" applyBorder="1" applyAlignment="1">
      <alignment horizontal="left" vertical="center"/>
    </xf>
    <xf numFmtId="0" fontId="6" fillId="0" borderId="14" xfId="0" applyFont="1" applyFill="1" applyBorder="1" applyAlignment="1">
      <alignment horizontal="right" vertical="top"/>
    </xf>
    <xf numFmtId="0" fontId="6" fillId="0" borderId="0" xfId="0" applyFont="1" applyFill="1" applyBorder="1" applyAlignment="1">
      <alignment horizontal="right" vertical="top"/>
    </xf>
    <xf numFmtId="0" fontId="6" fillId="0" borderId="14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colors>
    <mruColors>
      <color rgb="FF8064A2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Frontière efficiente des portefeuilles risqués sans vente à découvert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'Q4'!$A$3</c:f>
              <c:strCache>
                <c:ptCount val="1"/>
                <c:pt idx="0">
                  <c:v>Frontière efficiente des portefeuilles risqués sans vente à découvert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'Q4'!$C$25:$C$38</c:f>
              <c:numCache>
                <c:formatCode>0.000%</c:formatCode>
                <c:ptCount val="14"/>
                <c:pt idx="0">
                  <c:v>0.13387111442754696</c:v>
                </c:pt>
                <c:pt idx="1">
                  <c:v>0.13669960061879657</c:v>
                </c:pt>
                <c:pt idx="2">
                  <c:v>0.14211372673292588</c:v>
                </c:pt>
                <c:pt idx="3">
                  <c:v>0.14883144550440883</c:v>
                </c:pt>
                <c:pt idx="4">
                  <c:v>0.15665873440482353</c:v>
                </c:pt>
                <c:pt idx="5">
                  <c:v>0.16538025803166048</c:v>
                </c:pt>
                <c:pt idx="6">
                  <c:v>0.17518138759189142</c:v>
                </c:pt>
                <c:pt idx="7">
                  <c:v>0.18599650029233306</c:v>
                </c:pt>
                <c:pt idx="8">
                  <c:v>0.19765922247372023</c:v>
                </c:pt>
                <c:pt idx="9">
                  <c:v>0.21003785004409301</c:v>
                </c:pt>
                <c:pt idx="10">
                  <c:v>0.22434203967090008</c:v>
                </c:pt>
                <c:pt idx="11">
                  <c:v>0.2423834460292629</c:v>
                </c:pt>
                <c:pt idx="12">
                  <c:v>0.26311275246321525</c:v>
                </c:pt>
                <c:pt idx="13">
                  <c:v>0.2876775520102941</c:v>
                </c:pt>
              </c:numCache>
            </c:numRef>
          </c:xVal>
          <c:yVal>
            <c:numRef>
              <c:f>'Q4'!$B$25:$B$38</c:f>
              <c:numCache>
                <c:formatCode>0.000%</c:formatCode>
                <c:ptCount val="14"/>
                <c:pt idx="0">
                  <c:v>0.10384609030918678</c:v>
                </c:pt>
                <c:pt idx="1">
                  <c:v>0.12384609030918678</c:v>
                </c:pt>
                <c:pt idx="2">
                  <c:v>0.14384609030918677</c:v>
                </c:pt>
                <c:pt idx="3">
                  <c:v>0.16384609030918679</c:v>
                </c:pt>
                <c:pt idx="4">
                  <c:v>0.18384609030918678</c:v>
                </c:pt>
                <c:pt idx="5">
                  <c:v>0.20384609030918677</c:v>
                </c:pt>
                <c:pt idx="6">
                  <c:v>0.22384609030918678</c:v>
                </c:pt>
                <c:pt idx="7">
                  <c:v>0.2438460903091868</c:v>
                </c:pt>
                <c:pt idx="8">
                  <c:v>0.26384609030918676</c:v>
                </c:pt>
                <c:pt idx="9">
                  <c:v>0.28384609030918678</c:v>
                </c:pt>
                <c:pt idx="10">
                  <c:v>0.3038460903091868</c:v>
                </c:pt>
                <c:pt idx="11">
                  <c:v>0.32384609029254974</c:v>
                </c:pt>
                <c:pt idx="12">
                  <c:v>0.34384609030918678</c:v>
                </c:pt>
                <c:pt idx="13">
                  <c:v>0.3638460903091868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0A-4229-866C-57748A88D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'Q5'!$A$3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des portefeuilles risqués avec vente à découvert 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shade val="51000"/>
                            <a:satMod val="130000"/>
                          </a:schemeClr>
                        </a:gs>
                        <a:gs pos="80000">
                          <a:schemeClr val="accent4">
                            <a:shade val="93000"/>
                            <a:satMod val="130000"/>
                          </a:schemeClr>
                        </a:gs>
                        <a:gs pos="100000">
                          <a:schemeClr val="accent4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4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'Q5'!$C$25:$C$30</c15:sqref>
                        </c15:formulaRef>
                      </c:ext>
                    </c:extLst>
                    <c:numCache>
                      <c:formatCode>0.000%</c:formatCode>
                      <c:ptCount val="6"/>
                      <c:pt idx="0">
                        <c:v>0.12547608775929808</c:v>
                      </c:pt>
                      <c:pt idx="1">
                        <c:v>0.12548859210154087</c:v>
                      </c:pt>
                      <c:pt idx="2">
                        <c:v>0.12883137540484083</c:v>
                      </c:pt>
                      <c:pt idx="3">
                        <c:v>0.15104735008349573</c:v>
                      </c:pt>
                      <c:pt idx="4">
                        <c:v>0.18723359793623517</c:v>
                      </c:pt>
                      <c:pt idx="5">
                        <c:v>0.23091320698582188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'Q5'!$B$25:$B$30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 formatCode="0.000%">
                        <c:v>4.6781237156585651E-2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790A-4229-866C-57748A88DB9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Data!$AA$5</c:f>
              <c:strCache>
                <c:ptCount val="1"/>
                <c:pt idx="0">
                  <c:v>actifs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accent6">
                  <a:lumMod val="75000"/>
                  <a:alpha val="71000"/>
                </a:schemeClr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8E9FA6-CA80-410A-872C-273CBFFCB3F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90A-4229-866C-57748A88DB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5DF364-B8AE-4F53-97C1-25D058FE5D7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0A-4229-866C-57748A88DB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923207-0527-484D-BCF4-0E97BA27944D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90A-4229-866C-57748A88DB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C19282-794E-48F6-A6B7-6406CEF5DE5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0A-4229-866C-57748A88DB9E}"/>
                </c:ext>
              </c:extLst>
            </c:dLbl>
            <c:dLbl>
              <c:idx val="4"/>
              <c:layout>
                <c:manualLayout>
                  <c:x val="0"/>
                  <c:y val="-2.8270629565235152E-2"/>
                </c:manualLayout>
              </c:layout>
              <c:tx>
                <c:rich>
                  <a:bodyPr/>
                  <a:lstStyle/>
                  <a:p>
                    <a:fld id="{3482EEF8-049C-42F6-B24C-A6BE2972A3F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90A-4229-866C-57748A88DB9E}"/>
                </c:ext>
              </c:extLst>
            </c:dLbl>
            <c:dLbl>
              <c:idx val="5"/>
              <c:layout>
                <c:manualLayout>
                  <c:x val="0"/>
                  <c:y val="1.6309479435448013E-2"/>
                </c:manualLayout>
              </c:layout>
              <c:tx>
                <c:rich>
                  <a:bodyPr/>
                  <a:lstStyle/>
                  <a:p>
                    <a:fld id="{CD1E9E90-DFEB-458E-BAA9-C15454B0F2D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90A-4229-866C-57748A88DB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0F2155-61B3-4809-8319-8015C5C1F91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790A-4229-866C-57748A88DB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7F16F8-0823-4A19-A687-554E69DDA1B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790A-4229-866C-57748A88DB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2297D1-3330-487C-B071-6CD45BF3215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790A-4229-866C-57748A88DB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9A56F1-F765-4C57-93FB-160C0EBF5D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790A-4229-866C-57748A88DB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3C9D7C-7349-44DD-9BFE-46AA6831162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0A-4229-866C-57748A88DB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DBE942-441A-4C34-BD22-069D826BEB6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0A-4229-866C-57748A88DB9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Data!$AG$6:$AG$17</c:f>
              <c:numCache>
                <c:formatCode>0.000%</c:formatCode>
                <c:ptCount val="12"/>
                <c:pt idx="0">
                  <c:v>0.17846271911739889</c:v>
                </c:pt>
                <c:pt idx="1">
                  <c:v>0.35720236633155894</c:v>
                </c:pt>
                <c:pt idx="2">
                  <c:v>0.19844720092955354</c:v>
                </c:pt>
                <c:pt idx="3">
                  <c:v>0.28921138712078759</c:v>
                </c:pt>
                <c:pt idx="4">
                  <c:v>0.23412118197162674</c:v>
                </c:pt>
                <c:pt idx="5">
                  <c:v>0.22393764049302811</c:v>
                </c:pt>
                <c:pt idx="6">
                  <c:v>0.22719727339508558</c:v>
                </c:pt>
                <c:pt idx="7">
                  <c:v>0.321118014886558</c:v>
                </c:pt>
                <c:pt idx="8">
                  <c:v>0.22227067736299969</c:v>
                </c:pt>
                <c:pt idx="9">
                  <c:v>0.21461678779569088</c:v>
                </c:pt>
                <c:pt idx="10">
                  <c:v>0.29436043390512906</c:v>
                </c:pt>
                <c:pt idx="11">
                  <c:v>0.28264691819837012</c:v>
                </c:pt>
              </c:numCache>
            </c:numRef>
          </c:xVal>
          <c:yVal>
            <c:numRef>
              <c:f>Data!$AF$6:$AF$17</c:f>
              <c:numCache>
                <c:formatCode>0.000%</c:formatCode>
                <c:ptCount val="12"/>
                <c:pt idx="0">
                  <c:v>8.0141008757000587E-2</c:v>
                </c:pt>
                <c:pt idx="1">
                  <c:v>0.32603851869449318</c:v>
                </c:pt>
                <c:pt idx="2">
                  <c:v>4.2391280458784326E-2</c:v>
                </c:pt>
                <c:pt idx="3">
                  <c:v>0.27105391138211221</c:v>
                </c:pt>
                <c:pt idx="4">
                  <c:v>0.13670020780747316</c:v>
                </c:pt>
                <c:pt idx="5">
                  <c:v>0.11676615658866349</c:v>
                </c:pt>
                <c:pt idx="6">
                  <c:v>0.19109489942337862</c:v>
                </c:pt>
                <c:pt idx="7">
                  <c:v>-3.7197964699965641E-2</c:v>
                </c:pt>
                <c:pt idx="8">
                  <c:v>0.15975950333029129</c:v>
                </c:pt>
                <c:pt idx="9">
                  <c:v>0.1096751689273163</c:v>
                </c:pt>
                <c:pt idx="10">
                  <c:v>0.3668735385715004</c:v>
                </c:pt>
                <c:pt idx="11">
                  <c:v>0.20708722422129289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Data!$AA$6:$AA$17</c15:f>
                <c15:dlblRangeCache>
                  <c:ptCount val="12"/>
                  <c:pt idx="0">
                    <c:v>BN.PA</c:v>
                  </c:pt>
                  <c:pt idx="1">
                    <c:v>BNP.PA</c:v>
                  </c:pt>
                  <c:pt idx="2">
                    <c:v>CA.PA</c:v>
                  </c:pt>
                  <c:pt idx="3">
                    <c:v>CS.PA</c:v>
                  </c:pt>
                  <c:pt idx="4">
                    <c:v>DG.PA</c:v>
                  </c:pt>
                  <c:pt idx="5">
                    <c:v>EN.PA</c:v>
                  </c:pt>
                  <c:pt idx="6">
                    <c:v>ENGI.PA</c:v>
                  </c:pt>
                  <c:pt idx="7">
                    <c:v>KER.PA</c:v>
                  </c:pt>
                  <c:pt idx="8">
                    <c:v>ML.PA</c:v>
                  </c:pt>
                  <c:pt idx="9">
                    <c:v>OR.PA</c:v>
                  </c:pt>
                  <c:pt idx="10">
                    <c:v>SGO.PA</c:v>
                  </c:pt>
                  <c:pt idx="11">
                    <c:v>TTE.PA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790A-4229-866C-57748A88DB9E}"/>
            </c:ext>
          </c:extLst>
        </c:ser>
        <c:ser>
          <c:idx val="3"/>
          <c:order val="3"/>
          <c:tx>
            <c:strRef>
              <c:f>'Q4'!$B$42</c:f>
              <c:strCache>
                <c:ptCount val="1"/>
                <c:pt idx="0">
                  <c:v>Portefeuille chapitre précédent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circle"/>
              <c:size val="6"/>
              <c:spPr>
                <a:solidFill>
                  <a:schemeClr val="accent6">
                    <a:lumMod val="50000"/>
                  </a:schemeClr>
                </a:solidFill>
                <a:ln w="9525" cap="rnd">
                  <a:solidFill>
                    <a:schemeClr val="accent6">
                      <a:lumMod val="50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90A-4229-866C-57748A88DB9E}"/>
              </c:ext>
            </c:extLst>
          </c:dPt>
          <c:dLbls>
            <c:dLbl>
              <c:idx val="0"/>
              <c:layout>
                <c:manualLayout>
                  <c:x val="-6.1094020838794713E-2"/>
                  <c:y val="5.260309293194391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t" anchorCtr="1">
                    <a:noAutofit/>
                  </a:bodyPr>
                  <a:lstStyle/>
                  <a:p>
                    <a:pPr>
                      <a:defRPr sz="7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5A12A24-8AA4-4B61-BF52-4782044D91F9}" type="SERIESNAME">
                      <a:rPr lang="en-US" sz="700" b="1">
                        <a:solidFill>
                          <a:schemeClr val="accent6">
                            <a:lumMod val="50000"/>
                          </a:schemeClr>
                        </a:solidFill>
                      </a:rPr>
                      <a:pPr>
                        <a:defRPr sz="700"/>
                      </a:pPr>
                      <a:t>[NOM DE SÉRIE]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1">
                  <a:no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604323013643936"/>
                      <c:h val="9.764133399172642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790A-4229-866C-57748A88D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'Q4'!$C$43</c:f>
              <c:numCache>
                <c:formatCode>0.000%</c:formatCode>
                <c:ptCount val="1"/>
                <c:pt idx="0">
                  <c:v>0.17467786507000585</c:v>
                </c:pt>
              </c:numCache>
            </c:numRef>
          </c:xVal>
          <c:yVal>
            <c:numRef>
              <c:f>'Q4'!$B$43</c:f>
              <c:numCache>
                <c:formatCode>0.000%</c:formatCode>
                <c:ptCount val="1"/>
                <c:pt idx="0">
                  <c:v>0.16419862112186173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90A-4229-866C-57748A88D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</c:scatterChart>
      <c:valAx>
        <c:axId val="180125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Volatilité (Ecart-type annuel moyen)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0816"/>
        <c:crosses val="autoZero"/>
        <c:crossBetween val="midCat"/>
      </c:valAx>
      <c:valAx>
        <c:axId val="18012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Rentabilité anuelle moyenne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  <a:alpha val="94000"/>
        </a:sys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Frontière efficiente des portefeuilles risqués sans vente à découvert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strRef>
              <c:f>'Q4'!$A$3</c:f>
              <c:strCache>
                <c:ptCount val="1"/>
                <c:pt idx="0">
                  <c:v>Frontière efficiente des portefeuilles risqués sans vente à découvert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'Q4'!$C$25:$C$38</c:f>
              <c:numCache>
                <c:formatCode>0.000%</c:formatCode>
                <c:ptCount val="14"/>
                <c:pt idx="0">
                  <c:v>0.13387111442754696</c:v>
                </c:pt>
                <c:pt idx="1">
                  <c:v>0.13669960061879657</c:v>
                </c:pt>
                <c:pt idx="2">
                  <c:v>0.14211372673292588</c:v>
                </c:pt>
                <c:pt idx="3">
                  <c:v>0.14883144550440883</c:v>
                </c:pt>
                <c:pt idx="4">
                  <c:v>0.15665873440482353</c:v>
                </c:pt>
                <c:pt idx="5">
                  <c:v>0.16538025803166048</c:v>
                </c:pt>
                <c:pt idx="6">
                  <c:v>0.17518138759189142</c:v>
                </c:pt>
                <c:pt idx="7">
                  <c:v>0.18599650029233306</c:v>
                </c:pt>
                <c:pt idx="8">
                  <c:v>0.19765922247372023</c:v>
                </c:pt>
                <c:pt idx="9">
                  <c:v>0.21003785004409301</c:v>
                </c:pt>
                <c:pt idx="10">
                  <c:v>0.22434203967090008</c:v>
                </c:pt>
                <c:pt idx="11">
                  <c:v>0.2423834460292629</c:v>
                </c:pt>
                <c:pt idx="12">
                  <c:v>0.26311275246321525</c:v>
                </c:pt>
                <c:pt idx="13">
                  <c:v>0.2876775520102941</c:v>
                </c:pt>
              </c:numCache>
            </c:numRef>
          </c:xVal>
          <c:yVal>
            <c:numRef>
              <c:f>'Q4'!$B$25:$B$38</c:f>
              <c:numCache>
                <c:formatCode>0.000%</c:formatCode>
                <c:ptCount val="14"/>
                <c:pt idx="0">
                  <c:v>0.10384609030918678</c:v>
                </c:pt>
                <c:pt idx="1">
                  <c:v>0.12384609030918678</c:v>
                </c:pt>
                <c:pt idx="2">
                  <c:v>0.14384609030918677</c:v>
                </c:pt>
                <c:pt idx="3">
                  <c:v>0.16384609030918679</c:v>
                </c:pt>
                <c:pt idx="4">
                  <c:v>0.18384609030918678</c:v>
                </c:pt>
                <c:pt idx="5">
                  <c:v>0.20384609030918677</c:v>
                </c:pt>
                <c:pt idx="6">
                  <c:v>0.22384609030918678</c:v>
                </c:pt>
                <c:pt idx="7">
                  <c:v>0.2438460903091868</c:v>
                </c:pt>
                <c:pt idx="8">
                  <c:v>0.26384609030918676</c:v>
                </c:pt>
                <c:pt idx="9">
                  <c:v>0.28384609030918678</c:v>
                </c:pt>
                <c:pt idx="10">
                  <c:v>0.3038460903091868</c:v>
                </c:pt>
                <c:pt idx="11">
                  <c:v>0.32384609029254974</c:v>
                </c:pt>
                <c:pt idx="12">
                  <c:v>0.34384609030918678</c:v>
                </c:pt>
                <c:pt idx="13">
                  <c:v>0.3638460903091868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86-4233-BD0F-E03196FB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'Q5'!$A$3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des portefeuilles risqués avec vente à découvert 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shade val="51000"/>
                            <a:satMod val="130000"/>
                          </a:schemeClr>
                        </a:gs>
                        <a:gs pos="80000">
                          <a:schemeClr val="accent4">
                            <a:shade val="93000"/>
                            <a:satMod val="130000"/>
                          </a:schemeClr>
                        </a:gs>
                        <a:gs pos="100000">
                          <a:schemeClr val="accent4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4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'Q5'!$C$25:$C$30</c15:sqref>
                        </c15:formulaRef>
                      </c:ext>
                    </c:extLst>
                    <c:numCache>
                      <c:formatCode>0.000%</c:formatCode>
                      <c:ptCount val="6"/>
                      <c:pt idx="0">
                        <c:v>0.12547608775929808</c:v>
                      </c:pt>
                      <c:pt idx="1">
                        <c:v>0.12548859210154087</c:v>
                      </c:pt>
                      <c:pt idx="2">
                        <c:v>0.12883137540484083</c:v>
                      </c:pt>
                      <c:pt idx="3">
                        <c:v>0.15104735008349573</c:v>
                      </c:pt>
                      <c:pt idx="4">
                        <c:v>0.18723359793623517</c:v>
                      </c:pt>
                      <c:pt idx="5">
                        <c:v>0.23091320698582188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'Q5'!$B$25:$B$30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 formatCode="0.000%">
                        <c:v>4.6781237156585651E-2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0-3986-4233-BD0F-E03196FB6770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Data!$AA$5</c:f>
              <c:strCache>
                <c:ptCount val="1"/>
                <c:pt idx="0">
                  <c:v>actifs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accent6">
                  <a:lumMod val="75000"/>
                  <a:alpha val="71000"/>
                </a:schemeClr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689C07-3AA9-4C1A-A400-BFCEEB715E5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986-4233-BD0F-E03196FB67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56355D-89B6-4C5A-B287-A504912EE89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86-4233-BD0F-E03196FB67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679454-900C-4080-B6AB-FE00CC8A8BD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986-4233-BD0F-E03196FB67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91B3BC-BB13-48DB-A6D6-6509A185703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86-4233-BD0F-E03196FB6770}"/>
                </c:ext>
              </c:extLst>
            </c:dLbl>
            <c:dLbl>
              <c:idx val="4"/>
              <c:layout>
                <c:manualLayout>
                  <c:x val="0"/>
                  <c:y val="-2.8270629565235152E-2"/>
                </c:manualLayout>
              </c:layout>
              <c:tx>
                <c:rich>
                  <a:bodyPr/>
                  <a:lstStyle/>
                  <a:p>
                    <a:fld id="{6262C746-A12E-4255-96D6-8C9C3B4EB87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986-4233-BD0F-E03196FB6770}"/>
                </c:ext>
              </c:extLst>
            </c:dLbl>
            <c:dLbl>
              <c:idx val="5"/>
              <c:layout>
                <c:manualLayout>
                  <c:x val="0"/>
                  <c:y val="1.6309479435448013E-2"/>
                </c:manualLayout>
              </c:layout>
              <c:tx>
                <c:rich>
                  <a:bodyPr/>
                  <a:lstStyle/>
                  <a:p>
                    <a:fld id="{3356239E-AAE3-4BCF-92C7-3D0D2EF8538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986-4233-BD0F-E03196FB67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68C924-9B73-4F82-BBB4-A582FDD7AB6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986-4233-BD0F-E03196FB67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06DD4D-FB79-4620-B686-CB98DC9FCAB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986-4233-BD0F-E03196FB67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BC38A1-BF8A-4410-B92F-538E2451280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3986-4233-BD0F-E03196FB67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EA256B-8300-4F7C-A8CD-82BEA1C46E60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3986-4233-BD0F-E03196FB67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62347B-88D1-43C3-A3D8-6A445C4770E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86-4233-BD0F-E03196FB67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58F803-8C85-4957-B9AC-E7C75A42774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86-4233-BD0F-E03196FB6770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Data!$AG$6:$AG$17</c:f>
              <c:numCache>
                <c:formatCode>0.000%</c:formatCode>
                <c:ptCount val="12"/>
                <c:pt idx="0">
                  <c:v>0.17846271911739889</c:v>
                </c:pt>
                <c:pt idx="1">
                  <c:v>0.35720236633155894</c:v>
                </c:pt>
                <c:pt idx="2">
                  <c:v>0.19844720092955354</c:v>
                </c:pt>
                <c:pt idx="3">
                  <c:v>0.28921138712078759</c:v>
                </c:pt>
                <c:pt idx="4">
                  <c:v>0.23412118197162674</c:v>
                </c:pt>
                <c:pt idx="5">
                  <c:v>0.22393764049302811</c:v>
                </c:pt>
                <c:pt idx="6">
                  <c:v>0.22719727339508558</c:v>
                </c:pt>
                <c:pt idx="7">
                  <c:v>0.321118014886558</c:v>
                </c:pt>
                <c:pt idx="8">
                  <c:v>0.22227067736299969</c:v>
                </c:pt>
                <c:pt idx="9">
                  <c:v>0.21461678779569088</c:v>
                </c:pt>
                <c:pt idx="10">
                  <c:v>0.29436043390512906</c:v>
                </c:pt>
                <c:pt idx="11">
                  <c:v>0.28264691819837012</c:v>
                </c:pt>
              </c:numCache>
            </c:numRef>
          </c:xVal>
          <c:yVal>
            <c:numRef>
              <c:f>Data!$AF$6:$AF$17</c:f>
              <c:numCache>
                <c:formatCode>0.000%</c:formatCode>
                <c:ptCount val="12"/>
                <c:pt idx="0">
                  <c:v>8.0141008757000587E-2</c:v>
                </c:pt>
                <c:pt idx="1">
                  <c:v>0.32603851869449318</c:v>
                </c:pt>
                <c:pt idx="2">
                  <c:v>4.2391280458784326E-2</c:v>
                </c:pt>
                <c:pt idx="3">
                  <c:v>0.27105391138211221</c:v>
                </c:pt>
                <c:pt idx="4">
                  <c:v>0.13670020780747316</c:v>
                </c:pt>
                <c:pt idx="5">
                  <c:v>0.11676615658866349</c:v>
                </c:pt>
                <c:pt idx="6">
                  <c:v>0.19109489942337862</c:v>
                </c:pt>
                <c:pt idx="7">
                  <c:v>-3.7197964699965641E-2</c:v>
                </c:pt>
                <c:pt idx="8">
                  <c:v>0.15975950333029129</c:v>
                </c:pt>
                <c:pt idx="9">
                  <c:v>0.1096751689273163</c:v>
                </c:pt>
                <c:pt idx="10">
                  <c:v>0.3668735385715004</c:v>
                </c:pt>
                <c:pt idx="11">
                  <c:v>0.20708722422129289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Data!$AA$6:$AA$17</c15:f>
                <c15:dlblRangeCache>
                  <c:ptCount val="12"/>
                  <c:pt idx="0">
                    <c:v>BN.PA</c:v>
                  </c:pt>
                  <c:pt idx="1">
                    <c:v>BNP.PA</c:v>
                  </c:pt>
                  <c:pt idx="2">
                    <c:v>CA.PA</c:v>
                  </c:pt>
                  <c:pt idx="3">
                    <c:v>CS.PA</c:v>
                  </c:pt>
                  <c:pt idx="4">
                    <c:v>DG.PA</c:v>
                  </c:pt>
                  <c:pt idx="5">
                    <c:v>EN.PA</c:v>
                  </c:pt>
                  <c:pt idx="6">
                    <c:v>ENGI.PA</c:v>
                  </c:pt>
                  <c:pt idx="7">
                    <c:v>KER.PA</c:v>
                  </c:pt>
                  <c:pt idx="8">
                    <c:v>ML.PA</c:v>
                  </c:pt>
                  <c:pt idx="9">
                    <c:v>OR.PA</c:v>
                  </c:pt>
                  <c:pt idx="10">
                    <c:v>SGO.PA</c:v>
                  </c:pt>
                  <c:pt idx="11">
                    <c:v>TTE.PA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3986-4233-BD0F-E03196FB6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'Q4'!$B$42</c15:sqref>
                        </c15:formulaRef>
                      </c:ext>
                    </c:extLst>
                    <c:strCache>
                      <c:ptCount val="1"/>
                      <c:pt idx="0">
                        <c:v>Portefeuille chapitre précédent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hade val="51000"/>
                            <a:satMod val="130000"/>
                          </a:schemeClr>
                        </a:gs>
                        <a:gs pos="80000">
                          <a:schemeClr val="accent2">
                            <a:lumMod val="60000"/>
                            <a:shade val="93000"/>
                            <a:satMod val="130000"/>
                          </a:schemeClr>
                        </a:gs>
                        <a:gs pos="100000">
                          <a:schemeClr val="accent2">
                            <a:lumMod val="60000"/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dPt>
                  <c:idx val="0"/>
                  <c:marker>
                    <c:symbol val="circle"/>
                    <c:size val="6"/>
                    <c:spPr>
                      <a:solidFill>
                        <a:schemeClr val="accent6">
                          <a:lumMod val="50000"/>
                        </a:schemeClr>
                      </a:solidFill>
                      <a:ln w="9525" cap="rnd">
                        <a:solidFill>
                          <a:schemeClr val="accent6">
                            <a:lumMod val="50000"/>
                          </a:schemeClr>
                        </a:solidFill>
                        <a:round/>
                      </a:ln>
                      <a:effectLst>
                        <a:outerShdw blurRad="40000" dist="23000" dir="5400000" rotWithShape="0">
                          <a:srgbClr val="000000">
                            <a:alpha val="35000"/>
                          </a:srgbClr>
                        </a:outerShdw>
                      </a:effectLst>
                      <a:scene3d>
                        <a:camera prst="orthographicFront">
                          <a:rot lat="0" lon="0" rev="0"/>
                        </a:camera>
                        <a:lightRig rig="threePt" dir="t">
                          <a:rot lat="0" lon="0" rev="1200000"/>
                        </a:lightRig>
                      </a:scene3d>
                      <a:sp3d>
                        <a:bevelT w="63500" h="25400"/>
                      </a:sp3d>
                    </c:spPr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E-3986-4233-BD0F-E03196FB6770}"/>
                    </c:ext>
                  </c:extLst>
                </c:dPt>
                <c:dLbls>
                  <c:dLbl>
                    <c:idx val="0"/>
                    <c:layout>
                      <c:manualLayout>
                        <c:x val="-6.1094020838794713E-2"/>
                        <c:y val="5.2603092931943915E-2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t" anchorCtr="1">
                          <a:noAutofit/>
                        </a:bodyPr>
                        <a:lstStyle/>
                        <a:p>
                          <a:pPr>
                            <a:defRPr sz="7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D5A12A24-8AA4-4B61-BF52-4782044D91F9}" type="SERIESNAME">
                            <a:rPr lang="en-US" sz="700" b="1">
                              <a:solidFill>
                                <a:schemeClr val="accent6">
                                  <a:lumMod val="50000"/>
                                </a:schemeClr>
                              </a:solidFill>
                            </a:rPr>
                            <a:pPr>
                              <a:defRPr sz="700"/>
                            </a:pPr>
                            <a:t>[NOM DE SÉRIE]</a:t>
                          </a:fld>
                          <a:endParaRPr lang="fr-FR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t" anchorCtr="1">
                        <a:noAutofit/>
                      </a:bodyPr>
                      <a:lstStyle/>
                      <a:p>
                        <a:pPr>
                          <a:defRPr sz="7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fr-FR"/>
                      </a:p>
                    </c:txPr>
                    <c:dLblPos val="r"/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>
                        <c15:layout>
                          <c:manualLayout>
                            <c:w val="0.10604323013643936"/>
                            <c:h val="9.764133399172642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E-3986-4233-BD0F-E03196FB677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7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'Q4'!$C$43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0.17467786507000585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'Q4'!$B$43</c15:sqref>
                        </c15:formulaRef>
                      </c:ext>
                    </c:extLst>
                    <c:numCache>
                      <c:formatCode>0.000%</c:formatCode>
                      <c:ptCount val="1"/>
                      <c:pt idx="0">
                        <c:v>0.16419862112186173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F-3986-4233-BD0F-E03196FB6770}"/>
                  </c:ext>
                </c:extLst>
              </c15:ser>
            </c15:filteredScatterSeries>
          </c:ext>
        </c:extLst>
      </c:scatterChart>
      <c:valAx>
        <c:axId val="180125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Volatilité (Ecart-type annuel moyen)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0816"/>
        <c:crosses val="autoZero"/>
        <c:crossBetween val="midCat"/>
      </c:valAx>
      <c:valAx>
        <c:axId val="18012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b="1"/>
                  <a:t>Rentabilité anuelle moyenne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  <a:alpha val="94000"/>
        </a:sys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Frontières efficientes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7034914317422135E-2"/>
          <c:y val="0.15036617293498142"/>
          <c:w val="0.64714231719569226"/>
          <c:h val="0.754594496159160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'Q5'!$A$3</c:f>
              <c:strCache>
                <c:ptCount val="1"/>
                <c:pt idx="0">
                  <c:v>Frontière efficiente des portefeuilles risqués avec vente à découvert 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'Q5'!$C$25:$C$30</c:f>
              <c:numCache>
                <c:formatCode>0.000%</c:formatCode>
                <c:ptCount val="6"/>
                <c:pt idx="0">
                  <c:v>0.12547608775929808</c:v>
                </c:pt>
                <c:pt idx="1">
                  <c:v>0.12548859210154087</c:v>
                </c:pt>
                <c:pt idx="2">
                  <c:v>0.12883137540484083</c:v>
                </c:pt>
                <c:pt idx="3">
                  <c:v>0.15104735008349573</c:v>
                </c:pt>
                <c:pt idx="4">
                  <c:v>0.18723359793623517</c:v>
                </c:pt>
                <c:pt idx="5">
                  <c:v>0.23091320698582188</c:v>
                </c:pt>
              </c:numCache>
            </c:numRef>
          </c:xVal>
          <c:yVal>
            <c:numRef>
              <c:f>'Q5'!$B$25:$B$30</c:f>
              <c:numCache>
                <c:formatCode>0%</c:formatCode>
                <c:ptCount val="6"/>
                <c:pt idx="0" formatCode="0.000%">
                  <c:v>4.6781237156585651E-2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605-437C-B302-59FA4619CFBF}"/>
            </c:ext>
          </c:extLst>
        </c:ser>
        <c:ser>
          <c:idx val="0"/>
          <c:order val="1"/>
          <c:tx>
            <c:strRef>
              <c:f>'Q4'!$A$3</c:f>
              <c:strCache>
                <c:ptCount val="1"/>
                <c:pt idx="0">
                  <c:v>Frontière efficiente des portefeuilles risqués sans vente à découvert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'Q4'!$C$25:$C$38</c:f>
              <c:numCache>
                <c:formatCode>0.000%</c:formatCode>
                <c:ptCount val="14"/>
                <c:pt idx="0">
                  <c:v>0.13387111442754696</c:v>
                </c:pt>
                <c:pt idx="1">
                  <c:v>0.13669960061879657</c:v>
                </c:pt>
                <c:pt idx="2">
                  <c:v>0.14211372673292588</c:v>
                </c:pt>
                <c:pt idx="3">
                  <c:v>0.14883144550440883</c:v>
                </c:pt>
                <c:pt idx="4">
                  <c:v>0.15665873440482353</c:v>
                </c:pt>
                <c:pt idx="5">
                  <c:v>0.16538025803166048</c:v>
                </c:pt>
                <c:pt idx="6">
                  <c:v>0.17518138759189142</c:v>
                </c:pt>
                <c:pt idx="7">
                  <c:v>0.18599650029233306</c:v>
                </c:pt>
                <c:pt idx="8">
                  <c:v>0.19765922247372023</c:v>
                </c:pt>
                <c:pt idx="9">
                  <c:v>0.21003785004409301</c:v>
                </c:pt>
                <c:pt idx="10">
                  <c:v>0.22434203967090008</c:v>
                </c:pt>
                <c:pt idx="11">
                  <c:v>0.2423834460292629</c:v>
                </c:pt>
                <c:pt idx="12">
                  <c:v>0.26311275246321525</c:v>
                </c:pt>
                <c:pt idx="13">
                  <c:v>0.2876775520102941</c:v>
                </c:pt>
              </c:numCache>
            </c:numRef>
          </c:xVal>
          <c:yVal>
            <c:numRef>
              <c:f>'Q4'!$B$25:$B$38</c:f>
              <c:numCache>
                <c:formatCode>0.000%</c:formatCode>
                <c:ptCount val="14"/>
                <c:pt idx="0">
                  <c:v>0.10384609030918678</c:v>
                </c:pt>
                <c:pt idx="1">
                  <c:v>0.12384609030918678</c:v>
                </c:pt>
                <c:pt idx="2">
                  <c:v>0.14384609030918677</c:v>
                </c:pt>
                <c:pt idx="3">
                  <c:v>0.16384609030918679</c:v>
                </c:pt>
                <c:pt idx="4">
                  <c:v>0.18384609030918678</c:v>
                </c:pt>
                <c:pt idx="5">
                  <c:v>0.20384609030918677</c:v>
                </c:pt>
                <c:pt idx="6">
                  <c:v>0.22384609030918678</c:v>
                </c:pt>
                <c:pt idx="7">
                  <c:v>0.2438460903091868</c:v>
                </c:pt>
                <c:pt idx="8">
                  <c:v>0.26384609030918676</c:v>
                </c:pt>
                <c:pt idx="9">
                  <c:v>0.28384609030918678</c:v>
                </c:pt>
                <c:pt idx="10">
                  <c:v>0.3038460903091868</c:v>
                </c:pt>
                <c:pt idx="11">
                  <c:v>0.32384609029254974</c:v>
                </c:pt>
                <c:pt idx="12">
                  <c:v>0.34384609030918678</c:v>
                </c:pt>
                <c:pt idx="13">
                  <c:v>0.3638460903091868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05-437C-B302-59FA4619C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/>
      </c:scatterChart>
      <c:scatterChart>
        <c:scatterStyle val="lineMarker"/>
        <c:varyColors val="0"/>
        <c:ser>
          <c:idx val="2"/>
          <c:order val="2"/>
          <c:tx>
            <c:strRef>
              <c:f>Data!$AA$5</c:f>
              <c:strCache>
                <c:ptCount val="1"/>
                <c:pt idx="0">
                  <c:v>actifs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accent6">
                  <a:lumMod val="75000"/>
                  <a:alpha val="71000"/>
                </a:schemeClr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9109B1-CCE3-4C87-BAB0-F36281097B6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40D-4D48-A8A4-942B0276BD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1F4E7F-5E26-490E-9F75-F001A81D729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0D-4D48-A8A4-942B0276BD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CF888F-17D5-415A-8B19-C85544829EAD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40D-4D48-A8A4-942B0276BD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1F91F8-E6C1-40F7-A946-D77CC8F4B45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0D-4D48-A8A4-942B0276BDBA}"/>
                </c:ext>
              </c:extLst>
            </c:dLbl>
            <c:dLbl>
              <c:idx val="4"/>
              <c:layout>
                <c:manualLayout>
                  <c:x val="0"/>
                  <c:y val="-2.8270629565235152E-2"/>
                </c:manualLayout>
              </c:layout>
              <c:tx>
                <c:rich>
                  <a:bodyPr/>
                  <a:lstStyle/>
                  <a:p>
                    <a:fld id="{E0AAB97A-F175-47B8-BFC9-CB4C9C52292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740D-4D48-A8A4-942B0276BDBA}"/>
                </c:ext>
              </c:extLst>
            </c:dLbl>
            <c:dLbl>
              <c:idx val="5"/>
              <c:layout>
                <c:manualLayout>
                  <c:x val="0"/>
                  <c:y val="1.6309479435448013E-2"/>
                </c:manualLayout>
              </c:layout>
              <c:tx>
                <c:rich>
                  <a:bodyPr/>
                  <a:lstStyle/>
                  <a:p>
                    <a:fld id="{C8BFC273-614A-45B7-B692-0132E805912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740D-4D48-A8A4-942B0276BD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272328-27B9-4175-A2BD-26282C634F9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740D-4D48-A8A4-942B0276BD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3698C2-8C9D-4DD9-8F12-4D57C0E2E89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40D-4D48-A8A4-942B0276BD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C61F09-E2BB-4454-B93D-D4EDDF02B2F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40D-4D48-A8A4-942B0276BD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4770F2-B917-47BF-946B-AB16C94A4AA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740D-4D48-A8A4-942B0276BD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A8C164-097E-4B30-9809-7C3B32D4DCD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0D-4D48-A8A4-942B0276BD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02E9144-36B2-4936-B5F9-A7E554BEFEE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0D-4D48-A8A4-942B0276BDBA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Data!$AG$6:$AG$17</c:f>
              <c:numCache>
                <c:formatCode>0.000%</c:formatCode>
                <c:ptCount val="12"/>
                <c:pt idx="0">
                  <c:v>0.17846271911739889</c:v>
                </c:pt>
                <c:pt idx="1">
                  <c:v>0.35720236633155894</c:v>
                </c:pt>
                <c:pt idx="2">
                  <c:v>0.19844720092955354</c:v>
                </c:pt>
                <c:pt idx="3">
                  <c:v>0.28921138712078759</c:v>
                </c:pt>
                <c:pt idx="4">
                  <c:v>0.23412118197162674</c:v>
                </c:pt>
                <c:pt idx="5">
                  <c:v>0.22393764049302811</c:v>
                </c:pt>
                <c:pt idx="6">
                  <c:v>0.22719727339508558</c:v>
                </c:pt>
                <c:pt idx="7">
                  <c:v>0.321118014886558</c:v>
                </c:pt>
                <c:pt idx="8">
                  <c:v>0.22227067736299969</c:v>
                </c:pt>
                <c:pt idx="9">
                  <c:v>0.21461678779569088</c:v>
                </c:pt>
                <c:pt idx="10">
                  <c:v>0.29436043390512906</c:v>
                </c:pt>
                <c:pt idx="11">
                  <c:v>0.28264691819837012</c:v>
                </c:pt>
              </c:numCache>
            </c:numRef>
          </c:xVal>
          <c:yVal>
            <c:numRef>
              <c:f>Data!$AF$6:$AF$17</c:f>
              <c:numCache>
                <c:formatCode>0.000%</c:formatCode>
                <c:ptCount val="12"/>
                <c:pt idx="0">
                  <c:v>8.0141008757000587E-2</c:v>
                </c:pt>
                <c:pt idx="1">
                  <c:v>0.32603851869449318</c:v>
                </c:pt>
                <c:pt idx="2">
                  <c:v>4.2391280458784326E-2</c:v>
                </c:pt>
                <c:pt idx="3">
                  <c:v>0.27105391138211221</c:v>
                </c:pt>
                <c:pt idx="4">
                  <c:v>0.13670020780747316</c:v>
                </c:pt>
                <c:pt idx="5">
                  <c:v>0.11676615658866349</c:v>
                </c:pt>
                <c:pt idx="6">
                  <c:v>0.19109489942337862</c:v>
                </c:pt>
                <c:pt idx="7">
                  <c:v>-3.7197964699965641E-2</c:v>
                </c:pt>
                <c:pt idx="8">
                  <c:v>0.15975950333029129</c:v>
                </c:pt>
                <c:pt idx="9">
                  <c:v>0.1096751689273163</c:v>
                </c:pt>
                <c:pt idx="10">
                  <c:v>0.3668735385715004</c:v>
                </c:pt>
                <c:pt idx="11">
                  <c:v>0.20708722422129289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Data!$AA$6:$AA$17</c15:f>
                <c15:dlblRangeCache>
                  <c:ptCount val="12"/>
                  <c:pt idx="0">
                    <c:v>BN.PA</c:v>
                  </c:pt>
                  <c:pt idx="1">
                    <c:v>BNP.PA</c:v>
                  </c:pt>
                  <c:pt idx="2">
                    <c:v>CA.PA</c:v>
                  </c:pt>
                  <c:pt idx="3">
                    <c:v>CS.PA</c:v>
                  </c:pt>
                  <c:pt idx="4">
                    <c:v>DG.PA</c:v>
                  </c:pt>
                  <c:pt idx="5">
                    <c:v>EN.PA</c:v>
                  </c:pt>
                  <c:pt idx="6">
                    <c:v>ENGI.PA</c:v>
                  </c:pt>
                  <c:pt idx="7">
                    <c:v>KER.PA</c:v>
                  </c:pt>
                  <c:pt idx="8">
                    <c:v>ML.PA</c:v>
                  </c:pt>
                  <c:pt idx="9">
                    <c:v>OR.PA</c:v>
                  </c:pt>
                  <c:pt idx="10">
                    <c:v>SGO.PA</c:v>
                  </c:pt>
                  <c:pt idx="11">
                    <c:v>TTE.PA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40D-4D48-A8A4-942B0276B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</c:scatterChart>
      <c:valAx>
        <c:axId val="180125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Volatilité (Ecart-type annuel moyen)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0816"/>
        <c:crosses val="autoZero"/>
        <c:crossBetween val="midCat"/>
      </c:valAx>
      <c:valAx>
        <c:axId val="18012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Rentabilité anuelle moyenne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72594096478172"/>
          <c:y val="0.39592532833661254"/>
          <c:w val="0.25144779435820241"/>
          <c:h val="0.316673171149568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  <a:alpha val="94000"/>
        </a:sys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Frontières efficientes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72138242282188E-2"/>
          <c:y val="0.15587568470842181"/>
          <c:w val="0.6273310074762638"/>
          <c:h val="0.74560268313175282"/>
        </c:manualLayout>
      </c:layout>
      <c:scatterChart>
        <c:scatterStyle val="lineMarker"/>
        <c:varyColors val="0"/>
        <c:ser>
          <c:idx val="2"/>
          <c:order val="3"/>
          <c:tx>
            <c:strRef>
              <c:f>Data!$AA$5</c:f>
              <c:strCache>
                <c:ptCount val="1"/>
                <c:pt idx="0">
                  <c:v>actifs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>
              <a:outerShdw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accent6">
                  <a:lumMod val="75000"/>
                </a:schemeClr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3C3B0ED-7BFB-491C-8E0E-E5B579C65AD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A76-4718-9531-EC28FA46BA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C1A5F6-772A-4680-9BB9-C2A4C4E28EA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76-4718-9531-EC28FA46BA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1A3C98-D6DF-4304-842C-2F8C17EF914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A76-4718-9531-EC28FA46BA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180992-7144-4774-96FC-E3EF4129C49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76-4718-9531-EC28FA46BA16}"/>
                </c:ext>
              </c:extLst>
            </c:dLbl>
            <c:dLbl>
              <c:idx val="4"/>
              <c:layout>
                <c:manualLayout>
                  <c:x val="0"/>
                  <c:y val="-2.8270629565235152E-2"/>
                </c:manualLayout>
              </c:layout>
              <c:tx>
                <c:rich>
                  <a:bodyPr/>
                  <a:lstStyle/>
                  <a:p>
                    <a:fld id="{C040AF6E-821D-4285-B3DB-56AB40C8BAF7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A76-4718-9531-EC28FA46BA16}"/>
                </c:ext>
              </c:extLst>
            </c:dLbl>
            <c:dLbl>
              <c:idx val="5"/>
              <c:layout>
                <c:manualLayout>
                  <c:x val="0"/>
                  <c:y val="1.6309479435448013E-2"/>
                </c:manualLayout>
              </c:layout>
              <c:tx>
                <c:rich>
                  <a:bodyPr/>
                  <a:lstStyle/>
                  <a:p>
                    <a:fld id="{BCD97553-782F-4AA4-9852-E8E908F9735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A76-4718-9531-EC28FA46BA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566437-4B62-4273-BE35-EA594C01BA4D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A76-4718-9531-EC28FA46BA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8CC9E1-0C29-42BC-A6E5-D211A1DAA3D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A76-4718-9531-EC28FA46BA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4460D7-07C2-4686-A993-230E838545D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A76-4718-9531-EC28FA46BA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32A635-4CAA-4545-BB01-876DBD98466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A76-4718-9531-EC28FA46BA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000DC1-0D2F-4A4C-ACC5-B0D79A5CB5D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76-4718-9531-EC28FA46BA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5BFABC-9D65-44DC-AE29-3255557B119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76-4718-9531-EC28FA46BA16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>
                <a:outerShdw blurRad="50800" dist="12700"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Data!$AG$6:$AG$17</c:f>
              <c:numCache>
                <c:formatCode>0.000%</c:formatCode>
                <c:ptCount val="12"/>
                <c:pt idx="0">
                  <c:v>0.17846271911739889</c:v>
                </c:pt>
                <c:pt idx="1">
                  <c:v>0.35720236633155894</c:v>
                </c:pt>
                <c:pt idx="2">
                  <c:v>0.19844720092955354</c:v>
                </c:pt>
                <c:pt idx="3">
                  <c:v>0.28921138712078759</c:v>
                </c:pt>
                <c:pt idx="4">
                  <c:v>0.23412118197162674</c:v>
                </c:pt>
                <c:pt idx="5">
                  <c:v>0.22393764049302811</c:v>
                </c:pt>
                <c:pt idx="6">
                  <c:v>0.22719727339508558</c:v>
                </c:pt>
                <c:pt idx="7">
                  <c:v>0.321118014886558</c:v>
                </c:pt>
                <c:pt idx="8">
                  <c:v>0.22227067736299969</c:v>
                </c:pt>
                <c:pt idx="9">
                  <c:v>0.21461678779569088</c:v>
                </c:pt>
                <c:pt idx="10">
                  <c:v>0.29436043390512906</c:v>
                </c:pt>
                <c:pt idx="11">
                  <c:v>0.28264691819837012</c:v>
                </c:pt>
              </c:numCache>
              <c:extLst xmlns:c15="http://schemas.microsoft.com/office/drawing/2012/chart"/>
            </c:numRef>
          </c:xVal>
          <c:yVal>
            <c:numRef>
              <c:f>Data!$AF$6:$AF$17</c:f>
              <c:numCache>
                <c:formatCode>0.000%</c:formatCode>
                <c:ptCount val="12"/>
                <c:pt idx="0">
                  <c:v>8.0141008757000587E-2</c:v>
                </c:pt>
                <c:pt idx="1">
                  <c:v>0.32603851869449318</c:v>
                </c:pt>
                <c:pt idx="2">
                  <c:v>4.2391280458784326E-2</c:v>
                </c:pt>
                <c:pt idx="3">
                  <c:v>0.27105391138211221</c:v>
                </c:pt>
                <c:pt idx="4">
                  <c:v>0.13670020780747316</c:v>
                </c:pt>
                <c:pt idx="5">
                  <c:v>0.11676615658866349</c:v>
                </c:pt>
                <c:pt idx="6">
                  <c:v>0.19109489942337862</c:v>
                </c:pt>
                <c:pt idx="7">
                  <c:v>-3.7197964699965641E-2</c:v>
                </c:pt>
                <c:pt idx="8">
                  <c:v>0.15975950333029129</c:v>
                </c:pt>
                <c:pt idx="9">
                  <c:v>0.1096751689273163</c:v>
                </c:pt>
                <c:pt idx="10">
                  <c:v>0.3668735385715004</c:v>
                </c:pt>
                <c:pt idx="11">
                  <c:v>0.20708722422129289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5="http://schemas.microsoft.com/office/drawing/2012/chart" uri="{02D57815-91ED-43cb-92C2-25804820EDAC}">
              <c15:datalabelsRange>
                <c15:f>Data!$AA$6:$AA$17</c15:f>
                <c15:dlblRangeCache>
                  <c:ptCount val="12"/>
                  <c:pt idx="0">
                    <c:v>BN.PA</c:v>
                  </c:pt>
                  <c:pt idx="1">
                    <c:v>BNP.PA</c:v>
                  </c:pt>
                  <c:pt idx="2">
                    <c:v>CA.PA</c:v>
                  </c:pt>
                  <c:pt idx="3">
                    <c:v>CS.PA</c:v>
                  </c:pt>
                  <c:pt idx="4">
                    <c:v>DG.PA</c:v>
                  </c:pt>
                  <c:pt idx="5">
                    <c:v>EN.PA</c:v>
                  </c:pt>
                  <c:pt idx="6">
                    <c:v>ENGI.PA</c:v>
                  </c:pt>
                  <c:pt idx="7">
                    <c:v>KER.PA</c:v>
                  </c:pt>
                  <c:pt idx="8">
                    <c:v>ML.PA</c:v>
                  </c:pt>
                  <c:pt idx="9">
                    <c:v>OR.PA</c:v>
                  </c:pt>
                  <c:pt idx="10">
                    <c:v>SGO.PA</c:v>
                  </c:pt>
                  <c:pt idx="11">
                    <c:v>TTE.PA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0A76-4718-9531-EC28FA46B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/>
      </c:scatterChart>
      <c:scatterChart>
        <c:scatterStyle val="smoothMarker"/>
        <c:varyColors val="0"/>
        <c:ser>
          <c:idx val="1"/>
          <c:order val="0"/>
          <c:tx>
            <c:strRef>
              <c:f>'Q5'!$A$3</c:f>
              <c:strCache>
                <c:ptCount val="1"/>
                <c:pt idx="0">
                  <c:v>Frontière efficiente des portefeuilles risqués avec vente à découvert 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4">
                        <a:shade val="51000"/>
                        <a:satMod val="130000"/>
                      </a:schemeClr>
                    </a:gs>
                    <a:gs pos="80000">
                      <a:schemeClr val="accent4">
                        <a:shade val="93000"/>
                        <a:satMod val="130000"/>
                      </a:schemeClr>
                    </a:gs>
                    <a:gs pos="100000">
                      <a:schemeClr val="accent4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 cap="rnd">
                  <a:solidFill>
                    <a:srgbClr val="8064A2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7EE-4307-BE40-89323880B946}"/>
              </c:ext>
            </c:extLst>
          </c:dPt>
          <c:xVal>
            <c:numRef>
              <c:f>'Q5'!$C$25:$C$30</c:f>
              <c:numCache>
                <c:formatCode>0.000%</c:formatCode>
                <c:ptCount val="6"/>
                <c:pt idx="0">
                  <c:v>0.12547608775929808</c:v>
                </c:pt>
                <c:pt idx="1">
                  <c:v>0.12548859210154087</c:v>
                </c:pt>
                <c:pt idx="2">
                  <c:v>0.12883137540484083</c:v>
                </c:pt>
                <c:pt idx="3">
                  <c:v>0.15104735008349573</c:v>
                </c:pt>
                <c:pt idx="4">
                  <c:v>0.18723359793623517</c:v>
                </c:pt>
                <c:pt idx="5">
                  <c:v>0.23091320698582188</c:v>
                </c:pt>
              </c:numCache>
            </c:numRef>
          </c:xVal>
          <c:yVal>
            <c:numRef>
              <c:f>'Q5'!$B$25:$B$30</c:f>
              <c:numCache>
                <c:formatCode>0%</c:formatCode>
                <c:ptCount val="6"/>
                <c:pt idx="0" formatCode="0.000%">
                  <c:v>4.6781237156585651E-2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A76-4718-9531-EC28FA46BA16}"/>
            </c:ext>
          </c:extLst>
        </c:ser>
        <c:ser>
          <c:idx val="0"/>
          <c:order val="1"/>
          <c:tx>
            <c:strRef>
              <c:f>'Q4'!$A$3</c:f>
              <c:strCache>
                <c:ptCount val="1"/>
                <c:pt idx="0">
                  <c:v>Frontière efficiente des portefeuilles risqués sans vente à découvert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'Q4'!$C$25:$C$38</c:f>
              <c:numCache>
                <c:formatCode>0.000%</c:formatCode>
                <c:ptCount val="14"/>
                <c:pt idx="0">
                  <c:v>0.13387111442754696</c:v>
                </c:pt>
                <c:pt idx="1">
                  <c:v>0.13669960061879657</c:v>
                </c:pt>
                <c:pt idx="2">
                  <c:v>0.14211372673292588</c:v>
                </c:pt>
                <c:pt idx="3">
                  <c:v>0.14883144550440883</c:v>
                </c:pt>
                <c:pt idx="4">
                  <c:v>0.15665873440482353</c:v>
                </c:pt>
                <c:pt idx="5">
                  <c:v>0.16538025803166048</c:v>
                </c:pt>
                <c:pt idx="6">
                  <c:v>0.17518138759189142</c:v>
                </c:pt>
                <c:pt idx="7">
                  <c:v>0.18599650029233306</c:v>
                </c:pt>
                <c:pt idx="8">
                  <c:v>0.19765922247372023</c:v>
                </c:pt>
                <c:pt idx="9">
                  <c:v>0.21003785004409301</c:v>
                </c:pt>
                <c:pt idx="10">
                  <c:v>0.22434203967090008</c:v>
                </c:pt>
                <c:pt idx="11">
                  <c:v>0.2423834460292629</c:v>
                </c:pt>
                <c:pt idx="12">
                  <c:v>0.26311275246321525</c:v>
                </c:pt>
                <c:pt idx="13">
                  <c:v>0.2876775520102941</c:v>
                </c:pt>
              </c:numCache>
            </c:numRef>
          </c:xVal>
          <c:yVal>
            <c:numRef>
              <c:f>'Q4'!$B$25:$B$38</c:f>
              <c:numCache>
                <c:formatCode>0.000%</c:formatCode>
                <c:ptCount val="14"/>
                <c:pt idx="0">
                  <c:v>0.10384609030918678</c:v>
                </c:pt>
                <c:pt idx="1">
                  <c:v>0.12384609030918678</c:v>
                </c:pt>
                <c:pt idx="2">
                  <c:v>0.14384609030918677</c:v>
                </c:pt>
                <c:pt idx="3">
                  <c:v>0.16384609030918679</c:v>
                </c:pt>
                <c:pt idx="4">
                  <c:v>0.18384609030918678</c:v>
                </c:pt>
                <c:pt idx="5">
                  <c:v>0.20384609030918677</c:v>
                </c:pt>
                <c:pt idx="6">
                  <c:v>0.22384609030918678</c:v>
                </c:pt>
                <c:pt idx="7">
                  <c:v>0.2438460903091868</c:v>
                </c:pt>
                <c:pt idx="8">
                  <c:v>0.26384609030918676</c:v>
                </c:pt>
                <c:pt idx="9">
                  <c:v>0.28384609030918678</c:v>
                </c:pt>
                <c:pt idx="10">
                  <c:v>0.3038460903091868</c:v>
                </c:pt>
                <c:pt idx="11">
                  <c:v>0.32384609029254974</c:v>
                </c:pt>
                <c:pt idx="12">
                  <c:v>0.34384609030918678</c:v>
                </c:pt>
                <c:pt idx="13">
                  <c:v>0.3638460903091868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76-4718-9531-EC28FA46BA16}"/>
            </c:ext>
          </c:extLst>
        </c:ser>
        <c:ser>
          <c:idx val="3"/>
          <c:order val="2"/>
          <c:tx>
            <c:strRef>
              <c:f>'Q6'!$A$3</c:f>
              <c:strCache>
                <c:ptCount val="1"/>
                <c:pt idx="0">
                  <c:v>Frontière efficiente avec actif sans risque avec vente à découvert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rgbClr val="772C2A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'Q6'!$C$26:$C$31</c:f>
              <c:numCache>
                <c:formatCode>0.000%</c:formatCode>
                <c:ptCount val="6"/>
                <c:pt idx="0">
                  <c:v>4.18288985040114E-6</c:v>
                </c:pt>
                <c:pt idx="1">
                  <c:v>2.4293309126143487E-2</c:v>
                </c:pt>
                <c:pt idx="2">
                  <c:v>5.1285879343460711E-2</c:v>
                </c:pt>
                <c:pt idx="3">
                  <c:v>0.10527100889563899</c:v>
                </c:pt>
                <c:pt idx="4">
                  <c:v>0.15925614052825829</c:v>
                </c:pt>
                <c:pt idx="5">
                  <c:v>0.2132413211445679</c:v>
                </c:pt>
              </c:numCache>
            </c:numRef>
          </c:xVal>
          <c:yVal>
            <c:numRef>
              <c:f>'Q6'!$B$26:$B$31</c:f>
              <c:numCache>
                <c:formatCode>0%</c:formatCode>
                <c:ptCount val="6"/>
                <c:pt idx="0" formatCode="0.0%">
                  <c:v>5.0000000000000001E-3</c:v>
                </c:pt>
                <c:pt idx="1">
                  <c:v>5.0000002646694658E-2</c:v>
                </c:pt>
                <c:pt idx="2">
                  <c:v>0.10000000043980567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A76-4718-9531-EC28FA46B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/>
      </c:scatterChart>
      <c:valAx>
        <c:axId val="180125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Volatilité (Ecart-type annuel moyen)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0816"/>
        <c:crosses val="autoZero"/>
        <c:crossBetween val="midCat"/>
      </c:valAx>
      <c:valAx>
        <c:axId val="18012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Rentabilité anuelle moyenne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239335822456685"/>
          <c:y val="0.33739909846077609"/>
          <c:w val="0.26776026718269125"/>
          <c:h val="0.437701702169146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  <a:alpha val="94000"/>
        </a:sys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Frontières efficientes avec vente à découvert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175904101129647E-2"/>
          <c:y val="0.13505172000073171"/>
          <c:w val="0.62064796004581935"/>
          <c:h val="0.71741526969400571"/>
        </c:manualLayout>
      </c:layout>
      <c:scatterChart>
        <c:scatterStyle val="smoothMarker"/>
        <c:varyColors val="0"/>
        <c:ser>
          <c:idx val="5"/>
          <c:order val="5"/>
          <c:tx>
            <c:strRef>
              <c:f>'Q5'!$A$3</c:f>
              <c:strCache>
                <c:ptCount val="1"/>
                <c:pt idx="0">
                  <c:v>Frontière efficiente des portefeuilles risqués avec vente à découvert </c:v>
                </c:pt>
              </c:strCache>
            </c:strRef>
          </c:tx>
          <c:spPr>
            <a:ln w="9525" cap="rnd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8064A2"/>
              </a:solidFill>
              <a:ln w="9525" cap="rnd">
                <a:solidFill>
                  <a:srgbClr val="8064A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'Q5'!$C$25:$C$48</c:f>
              <c:numCache>
                <c:formatCode>0.000%</c:formatCode>
                <c:ptCount val="24"/>
                <c:pt idx="0">
                  <c:v>0.12547608775929808</c:v>
                </c:pt>
                <c:pt idx="1">
                  <c:v>0.12548859210154087</c:v>
                </c:pt>
                <c:pt idx="2">
                  <c:v>0.12883137540484083</c:v>
                </c:pt>
                <c:pt idx="3">
                  <c:v>0.15104735008349573</c:v>
                </c:pt>
                <c:pt idx="4">
                  <c:v>0.18723359793623517</c:v>
                </c:pt>
                <c:pt idx="5">
                  <c:v>0.23091320698582188</c:v>
                </c:pt>
                <c:pt idx="6">
                  <c:v>0.27858340859474479</c:v>
                </c:pt>
                <c:pt idx="7">
                  <c:v>0.32851150876769591</c:v>
                </c:pt>
                <c:pt idx="8">
                  <c:v>0.37980822451148882</c:v>
                </c:pt>
                <c:pt idx="9">
                  <c:v>0.4319862295314284</c:v>
                </c:pt>
                <c:pt idx="10">
                  <c:v>0.48476103070401172</c:v>
                </c:pt>
                <c:pt idx="11">
                  <c:v>0.53795701594552248</c:v>
                </c:pt>
                <c:pt idx="12">
                  <c:v>0.59146055171167444</c:v>
                </c:pt>
                <c:pt idx="13">
                  <c:v>0.64519513099382142</c:v>
                </c:pt>
                <c:pt idx="14">
                  <c:v>0.69910748050554272</c:v>
                </c:pt>
                <c:pt idx="15">
                  <c:v>0.75315942596786412</c:v>
                </c:pt>
                <c:pt idx="16">
                  <c:v>0.80732292945163631</c:v>
                </c:pt>
                <c:pt idx="17">
                  <c:v>0.86157877154374274</c:v>
                </c:pt>
                <c:pt idx="18">
                  <c:v>0.9159073509015746</c:v>
                </c:pt>
                <c:pt idx="19">
                  <c:v>0.97029765032507087</c:v>
                </c:pt>
                <c:pt idx="20">
                  <c:v>1.0247400223509704</c:v>
                </c:pt>
                <c:pt idx="21">
                  <c:v>1.0792265618827397</c:v>
                </c:pt>
                <c:pt idx="22">
                  <c:v>1.1337509707431708</c:v>
                </c:pt>
                <c:pt idx="23">
                  <c:v>1.1883064232471869</c:v>
                </c:pt>
              </c:numCache>
            </c:numRef>
          </c:xVal>
          <c:yVal>
            <c:numRef>
              <c:f>'Q5'!$B$25:$B$48</c:f>
              <c:numCache>
                <c:formatCode>0%</c:formatCode>
                <c:ptCount val="24"/>
                <c:pt idx="0" formatCode="0.000%">
                  <c:v>4.6781237156585651E-2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0.79999999999999993</c:v>
                </c:pt>
                <c:pt idx="10">
                  <c:v>0.89999999999999991</c:v>
                </c:pt>
                <c:pt idx="11">
                  <c:v>0.99999999999999989</c:v>
                </c:pt>
                <c:pt idx="12">
                  <c:v>1.0999999999999999</c:v>
                </c:pt>
                <c:pt idx="13">
                  <c:v>1.2</c:v>
                </c:pt>
                <c:pt idx="14">
                  <c:v>1.3</c:v>
                </c:pt>
                <c:pt idx="15">
                  <c:v>1.4000000000000001</c:v>
                </c:pt>
                <c:pt idx="16">
                  <c:v>1.5000000000000002</c:v>
                </c:pt>
                <c:pt idx="17">
                  <c:v>1.6000000000000003</c:v>
                </c:pt>
                <c:pt idx="18">
                  <c:v>1.7000000000000004</c:v>
                </c:pt>
                <c:pt idx="19">
                  <c:v>1.8000000000000005</c:v>
                </c:pt>
                <c:pt idx="20">
                  <c:v>1.9000000000000006</c:v>
                </c:pt>
                <c:pt idx="21">
                  <c:v>2.0000000000000004</c:v>
                </c:pt>
                <c:pt idx="22">
                  <c:v>2.1000000000000005</c:v>
                </c:pt>
                <c:pt idx="23">
                  <c:v>2.2000000000000006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249-452B-A089-D9087A7F954A}"/>
            </c:ext>
          </c:extLst>
        </c:ser>
        <c:ser>
          <c:idx val="4"/>
          <c:order val="4"/>
          <c:tx>
            <c:strRef>
              <c:f>'Q6'!$A$3</c:f>
              <c:strCache>
                <c:ptCount val="1"/>
                <c:pt idx="0">
                  <c:v>Frontière efficiente avec actif sans risque avec vente à découvert</c:v>
                </c:pt>
              </c:strCache>
            </c:strRef>
          </c:tx>
          <c:spPr>
            <a:ln w="19050" cap="rnd">
              <a:solidFill>
                <a:srgbClr val="772C2A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'Q6'!$C$26:$C$49</c:f>
              <c:numCache>
                <c:formatCode>0.000%</c:formatCode>
                <c:ptCount val="24"/>
                <c:pt idx="0">
                  <c:v>4.18288985040114E-6</c:v>
                </c:pt>
                <c:pt idx="1">
                  <c:v>2.4293309126143487E-2</c:v>
                </c:pt>
                <c:pt idx="2">
                  <c:v>5.1285879343460711E-2</c:v>
                </c:pt>
                <c:pt idx="3">
                  <c:v>0.10527100889563899</c:v>
                </c:pt>
                <c:pt idx="4">
                  <c:v>0.15925614052825829</c:v>
                </c:pt>
                <c:pt idx="5">
                  <c:v>0.2132413211445679</c:v>
                </c:pt>
                <c:pt idx="6">
                  <c:v>0.26722640528865049</c:v>
                </c:pt>
                <c:pt idx="7">
                  <c:v>0.32121161659062275</c:v>
                </c:pt>
                <c:pt idx="8">
                  <c:v>0.37519676433202837</c:v>
                </c:pt>
                <c:pt idx="9">
                  <c:v>0.42918189412634999</c:v>
                </c:pt>
                <c:pt idx="10">
                  <c:v>0.48316701505102533</c:v>
                </c:pt>
                <c:pt idx="11">
                  <c:v>0.53715213409768714</c:v>
                </c:pt>
                <c:pt idx="12">
                  <c:v>0.59113726143487655</c:v>
                </c:pt>
                <c:pt idx="13">
                  <c:v>0.64512237234193492</c:v>
                </c:pt>
                <c:pt idx="14">
                  <c:v>0.6991074892563065</c:v>
                </c:pt>
                <c:pt idx="15">
                  <c:v>0.7530926151774836</c:v>
                </c:pt>
                <c:pt idx="16">
                  <c:v>0.80707773987650977</c:v>
                </c:pt>
                <c:pt idx="17">
                  <c:v>0.86106286581241831</c:v>
                </c:pt>
                <c:pt idx="18">
                  <c:v>0.91504799228904643</c:v>
                </c:pt>
                <c:pt idx="19">
                  <c:v>0.96903312918124973</c:v>
                </c:pt>
                <c:pt idx="20">
                  <c:v>1.0230205936850576</c:v>
                </c:pt>
                <c:pt idx="21">
                  <c:v>1.0770059172661739</c:v>
                </c:pt>
                <c:pt idx="22">
                  <c:v>1.1309909601612842</c:v>
                </c:pt>
                <c:pt idx="23">
                  <c:v>1.1849736457526181</c:v>
                </c:pt>
              </c:numCache>
            </c:numRef>
          </c:xVal>
          <c:yVal>
            <c:numRef>
              <c:f>'Q6'!$B$26:$B$49</c:f>
              <c:numCache>
                <c:formatCode>0%</c:formatCode>
                <c:ptCount val="24"/>
                <c:pt idx="0" formatCode="0.0%">
                  <c:v>5.0000000000000001E-3</c:v>
                </c:pt>
                <c:pt idx="1">
                  <c:v>5.0000002646694658E-2</c:v>
                </c:pt>
                <c:pt idx="2">
                  <c:v>0.10000000043980567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0.79999999999999993</c:v>
                </c:pt>
                <c:pt idx="10">
                  <c:v>0.89999999999999991</c:v>
                </c:pt>
                <c:pt idx="11">
                  <c:v>0.99999999999999989</c:v>
                </c:pt>
                <c:pt idx="12">
                  <c:v>1.0999999999999999</c:v>
                </c:pt>
                <c:pt idx="13">
                  <c:v>1.2</c:v>
                </c:pt>
                <c:pt idx="14">
                  <c:v>1.3</c:v>
                </c:pt>
                <c:pt idx="15">
                  <c:v>1.4000000000000001</c:v>
                </c:pt>
                <c:pt idx="16">
                  <c:v>1.5000000000000002</c:v>
                </c:pt>
                <c:pt idx="17">
                  <c:v>1.6000000000000003</c:v>
                </c:pt>
                <c:pt idx="18">
                  <c:v>1.7000000000000004</c:v>
                </c:pt>
                <c:pt idx="19">
                  <c:v>1.8000000000000005</c:v>
                </c:pt>
                <c:pt idx="20">
                  <c:v>1.9000000000000006</c:v>
                </c:pt>
                <c:pt idx="21">
                  <c:v>2.0000000000000004</c:v>
                </c:pt>
                <c:pt idx="22">
                  <c:v>2.1000000000000005</c:v>
                </c:pt>
                <c:pt idx="23">
                  <c:v>2.2000000000000006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249-452B-A089-D9087A7F9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'Q5'!$A$3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des portefeuilles risqués avec vente à découvert 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shade val="51000"/>
                            <a:satMod val="130000"/>
                          </a:schemeClr>
                        </a:gs>
                        <a:gs pos="80000">
                          <a:schemeClr val="accent4">
                            <a:shade val="93000"/>
                            <a:satMod val="130000"/>
                          </a:schemeClr>
                        </a:gs>
                        <a:gs pos="100000">
                          <a:schemeClr val="accent4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4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'Q5'!$C$25:$C$30</c15:sqref>
                        </c15:formulaRef>
                      </c:ext>
                    </c:extLst>
                    <c:numCache>
                      <c:formatCode>0.000%</c:formatCode>
                      <c:ptCount val="6"/>
                      <c:pt idx="0">
                        <c:v>0.12547608775929808</c:v>
                      </c:pt>
                      <c:pt idx="1">
                        <c:v>0.12548859210154087</c:v>
                      </c:pt>
                      <c:pt idx="2">
                        <c:v>0.12883137540484083</c:v>
                      </c:pt>
                      <c:pt idx="3">
                        <c:v>0.15104735008349573</c:v>
                      </c:pt>
                      <c:pt idx="4">
                        <c:v>0.18723359793623517</c:v>
                      </c:pt>
                      <c:pt idx="5">
                        <c:v>0.23091320698582188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'Q5'!$B$25:$B$30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 formatCode="0.000%">
                        <c:v>4.6781237156585651E-2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C249-452B-A089-D9087A7F954A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'Q4'!$A$3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des portefeuilles risqués sans vente à découvert </c:v>
                      </c:pt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solidFill>
                      <a:schemeClr val="tx2">
                        <a:lumMod val="60000"/>
                        <a:lumOff val="40000"/>
                      </a:schemeClr>
                    </a:solidFill>
                    <a:ln w="9525" cap="rnd">
                      <a:solidFill>
                        <a:schemeClr val="accent1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'Q4'!$C$25:$C$38</c15:sqref>
                        </c15:formulaRef>
                      </c:ext>
                    </c:extLst>
                    <c:numCache>
                      <c:formatCode>0.000%</c:formatCode>
                      <c:ptCount val="14"/>
                      <c:pt idx="0">
                        <c:v>0.13387111442754696</c:v>
                      </c:pt>
                      <c:pt idx="1">
                        <c:v>0.13669960061879657</c:v>
                      </c:pt>
                      <c:pt idx="2">
                        <c:v>0.14211372673292588</c:v>
                      </c:pt>
                      <c:pt idx="3">
                        <c:v>0.14883144550440883</c:v>
                      </c:pt>
                      <c:pt idx="4">
                        <c:v>0.15665873440482353</c:v>
                      </c:pt>
                      <c:pt idx="5">
                        <c:v>0.16538025803166048</c:v>
                      </c:pt>
                      <c:pt idx="6">
                        <c:v>0.17518138759189142</c:v>
                      </c:pt>
                      <c:pt idx="7">
                        <c:v>0.18599650029233306</c:v>
                      </c:pt>
                      <c:pt idx="8">
                        <c:v>0.19765922247372023</c:v>
                      </c:pt>
                      <c:pt idx="9">
                        <c:v>0.21003785004409301</c:v>
                      </c:pt>
                      <c:pt idx="10">
                        <c:v>0.22434203967090008</c:v>
                      </c:pt>
                      <c:pt idx="11">
                        <c:v>0.2423834460292629</c:v>
                      </c:pt>
                      <c:pt idx="12">
                        <c:v>0.26311275246321525</c:v>
                      </c:pt>
                      <c:pt idx="13">
                        <c:v>0.2876775520102941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'Q4'!$B$25:$B$38</c15:sqref>
                        </c15:formulaRef>
                      </c:ext>
                    </c:extLst>
                    <c:numCache>
                      <c:formatCode>0.000%</c:formatCode>
                      <c:ptCount val="14"/>
                      <c:pt idx="0">
                        <c:v>0.10384609030918678</c:v>
                      </c:pt>
                      <c:pt idx="1">
                        <c:v>0.12384609030918678</c:v>
                      </c:pt>
                      <c:pt idx="2">
                        <c:v>0.14384609030918677</c:v>
                      </c:pt>
                      <c:pt idx="3">
                        <c:v>0.16384609030918679</c:v>
                      </c:pt>
                      <c:pt idx="4">
                        <c:v>0.18384609030918678</c:v>
                      </c:pt>
                      <c:pt idx="5">
                        <c:v>0.20384609030918677</c:v>
                      </c:pt>
                      <c:pt idx="6">
                        <c:v>0.22384609030918678</c:v>
                      </c:pt>
                      <c:pt idx="7">
                        <c:v>0.2438460903091868</c:v>
                      </c:pt>
                      <c:pt idx="8">
                        <c:v>0.26384609030918676</c:v>
                      </c:pt>
                      <c:pt idx="9">
                        <c:v>0.28384609030918678</c:v>
                      </c:pt>
                      <c:pt idx="10">
                        <c:v>0.3038460903091868</c:v>
                      </c:pt>
                      <c:pt idx="11">
                        <c:v>0.32384609029254974</c:v>
                      </c:pt>
                      <c:pt idx="12">
                        <c:v>0.34384609030918678</c:v>
                      </c:pt>
                      <c:pt idx="13">
                        <c:v>0.3638460903091868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249-452B-A089-D9087A7F954A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'Q6'!$A$3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avec actif sans risque avec vente à découvert</c:v>
                      </c:pt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hade val="51000"/>
                            <a:satMod val="130000"/>
                          </a:schemeClr>
                        </a:gs>
                        <a:gs pos="80000">
                          <a:schemeClr val="accent2">
                            <a:lumMod val="60000"/>
                            <a:shade val="93000"/>
                            <a:satMod val="130000"/>
                          </a:schemeClr>
                        </a:gs>
                        <a:gs pos="100000">
                          <a:schemeClr val="accent2">
                            <a:lumMod val="60000"/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'Q6'!$C$26:$C$31</c15:sqref>
                        </c15:formulaRef>
                      </c:ext>
                    </c:extLst>
                    <c:numCache>
                      <c:formatCode>0.000%</c:formatCode>
                      <c:ptCount val="6"/>
                      <c:pt idx="0">
                        <c:v>4.18288985040114E-6</c:v>
                      </c:pt>
                      <c:pt idx="1">
                        <c:v>2.4293309126143487E-2</c:v>
                      </c:pt>
                      <c:pt idx="2">
                        <c:v>5.1285879343460711E-2</c:v>
                      </c:pt>
                      <c:pt idx="3">
                        <c:v>0.10527100889563899</c:v>
                      </c:pt>
                      <c:pt idx="4">
                        <c:v>0.15925614052825829</c:v>
                      </c:pt>
                      <c:pt idx="5">
                        <c:v>0.2132413211445679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'Q6'!$B$26:$B$31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 formatCode="0.0%">
                        <c:v>5.0000000000000001E-3</c:v>
                      </c:pt>
                      <c:pt idx="1">
                        <c:v>5.0000002646694658E-2</c:v>
                      </c:pt>
                      <c:pt idx="2">
                        <c:v>0.10000000043980567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249-452B-A089-D9087A7F954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Data!$AA$5</c15:sqref>
                        </c15:formulaRef>
                      </c:ext>
                    </c:extLst>
                    <c:strCache>
                      <c:ptCount val="1"/>
                      <c:pt idx="0">
                        <c:v>actifs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>
                    <a:outerShdw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diamond"/>
                  <c:size val="5"/>
                  <c:spPr>
                    <a:solidFill>
                      <a:schemeClr val="accent6">
                        <a:lumMod val="75000"/>
                      </a:schemeClr>
                    </a:solidFill>
                    <a:ln w="9525" cap="rnd">
                      <a:solidFill>
                        <a:schemeClr val="accent6"/>
                      </a:solidFill>
                      <a:round/>
                    </a:ln>
                    <a:effectLst>
                      <a:outerShdw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340BB0E0-C53A-45CC-83C1-ABFAC8796460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C249-452B-A089-D9087A7F954A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7D95B9CA-E7E9-4CA2-A456-28534925C9B3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C249-452B-A089-D9087A7F954A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3BB6A335-7473-45C6-982C-497EA4AF7A5F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5-C249-452B-A089-D9087A7F954A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BD6EB3B9-A7F9-471B-8E44-E1B54E352A7B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6-C249-452B-A089-D9087A7F954A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2.827062956523515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31383098-3AD0-445A-8932-9EA34D9BD8F7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7-C249-452B-A089-D9087A7F954A}"/>
                      </c:ext>
                    </c:extLst>
                  </c:dLbl>
                  <c:dLbl>
                    <c:idx val="5"/>
                    <c:layout>
                      <c:manualLayout>
                        <c:x val="0"/>
                        <c:y val="1.6309479435448013E-2"/>
                      </c:manualLayout>
                    </c:layout>
                    <c:tx>
                      <c:rich>
                        <a:bodyPr/>
                        <a:lstStyle/>
                        <a:p>
                          <a:fld id="{5B994CFF-A192-4601-A976-68C32E9353C6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C249-452B-A089-D9087A7F954A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8BBBCF83-0838-417B-B9FB-2E41E48DE757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9-C249-452B-A089-D9087A7F954A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B1ED50AA-628D-4907-8A80-4964CA24C3A3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b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A-C249-452B-A089-D9087A7F954A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DDEF550E-6C67-478F-BC67-64FCECDAA66A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B-C249-452B-A089-D9087A7F954A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A8EFAC4B-0BC7-4F6F-9794-0AC680AEFD59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b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C-C249-452B-A089-D9087A7F954A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53511FFB-CF03-48B8-BE1E-62646338DD67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D-C249-452B-A089-D9087A7F954A}"/>
                      </c:ext>
                    </c:extLst>
                  </c:dLbl>
                  <c:dLbl>
                    <c:idx val="11"/>
                    <c:tx>
                      <c:rich>
                        <a:bodyPr/>
                        <a:lstStyle/>
                        <a:p>
                          <a:fld id="{63EF13CE-F568-4056-9B2A-C8F23C15F6E3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E-C249-452B-A089-D9087A7F954A}"/>
                      </c:ext>
                    </c:extLst>
                  </c:dLbl>
                  <c:spPr>
                    <a:solidFill>
                      <a:sysClr val="window" lastClr="FFFFFF"/>
                    </a:solidFill>
                    <a:ln>
                      <a:noFill/>
                    </a:ln>
                    <a:effectLst>
                      <a:outerShdw blurRad="50800" dist="12700" dir="5400000" algn="ctr" rotWithShape="0">
                        <a:srgbClr val="000000">
                          <a:alpha val="43137"/>
                        </a:srgbClr>
                      </a:outerShdw>
                    </a:effectLst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600" b="0" i="0" u="none" strike="noStrike" kern="1200" baseline="0">
                          <a:solidFill>
                            <a:schemeClr val="accent6">
                              <a:lumMod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DataLabelsRange val="1"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Data!$AG$6:$AG$17</c15:sqref>
                        </c15:formulaRef>
                      </c:ext>
                    </c:extLst>
                    <c:numCache>
                      <c:formatCode>0.000%</c:formatCode>
                      <c:ptCount val="12"/>
                      <c:pt idx="0">
                        <c:v>0.17846271911739889</c:v>
                      </c:pt>
                      <c:pt idx="1">
                        <c:v>0.35720236633155894</c:v>
                      </c:pt>
                      <c:pt idx="2">
                        <c:v>0.19844720092955354</c:v>
                      </c:pt>
                      <c:pt idx="3">
                        <c:v>0.28921138712078759</c:v>
                      </c:pt>
                      <c:pt idx="4">
                        <c:v>0.23412118197162674</c:v>
                      </c:pt>
                      <c:pt idx="5">
                        <c:v>0.22393764049302811</c:v>
                      </c:pt>
                      <c:pt idx="6">
                        <c:v>0.22719727339508558</c:v>
                      </c:pt>
                      <c:pt idx="7">
                        <c:v>0.321118014886558</c:v>
                      </c:pt>
                      <c:pt idx="8">
                        <c:v>0.22227067736299969</c:v>
                      </c:pt>
                      <c:pt idx="9">
                        <c:v>0.21461678779569088</c:v>
                      </c:pt>
                      <c:pt idx="10">
                        <c:v>0.29436043390512906</c:v>
                      </c:pt>
                      <c:pt idx="11">
                        <c:v>0.28264691819837012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Data!$AF$6:$AF$17</c15:sqref>
                        </c15:formulaRef>
                      </c:ext>
                    </c:extLst>
                    <c:numCache>
                      <c:formatCode>0.000%</c:formatCode>
                      <c:ptCount val="12"/>
                      <c:pt idx="0">
                        <c:v>8.0141008757000587E-2</c:v>
                      </c:pt>
                      <c:pt idx="1">
                        <c:v>0.32603851869449318</c:v>
                      </c:pt>
                      <c:pt idx="2">
                        <c:v>4.2391280458784326E-2</c:v>
                      </c:pt>
                      <c:pt idx="3">
                        <c:v>0.27105391138211221</c:v>
                      </c:pt>
                      <c:pt idx="4">
                        <c:v>0.13670020780747316</c:v>
                      </c:pt>
                      <c:pt idx="5">
                        <c:v>0.11676615658866349</c:v>
                      </c:pt>
                      <c:pt idx="6">
                        <c:v>0.19109489942337862</c:v>
                      </c:pt>
                      <c:pt idx="7">
                        <c:v>-3.7197964699965641E-2</c:v>
                      </c:pt>
                      <c:pt idx="8">
                        <c:v>0.15975950333029129</c:v>
                      </c:pt>
                      <c:pt idx="9">
                        <c:v>0.1096751689273163</c:v>
                      </c:pt>
                      <c:pt idx="10">
                        <c:v>0.3668735385715004</c:v>
                      </c:pt>
                      <c:pt idx="11">
                        <c:v>0.20708722422129289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5="http://schemas.microsoft.com/office/drawing/2012/chart" uri="{02D57815-91ED-43cb-92C2-25804820EDAC}">
                    <c15:datalabelsRange>
                      <c15:f>Data!$AA$6:$AA$17</c15:f>
                      <c15:dlblRangeCache>
                        <c:ptCount val="12"/>
                        <c:pt idx="0">
                          <c:v>BN.PA</c:v>
                        </c:pt>
                        <c:pt idx="1">
                          <c:v>BNP.PA</c:v>
                        </c:pt>
                        <c:pt idx="2">
                          <c:v>CA.PA</c:v>
                        </c:pt>
                        <c:pt idx="3">
                          <c:v>CS.PA</c:v>
                        </c:pt>
                        <c:pt idx="4">
                          <c:v>DG.PA</c:v>
                        </c:pt>
                        <c:pt idx="5">
                          <c:v>EN.PA</c:v>
                        </c:pt>
                        <c:pt idx="6">
                          <c:v>ENGI.PA</c:v>
                        </c:pt>
                        <c:pt idx="7">
                          <c:v>KER.PA</c:v>
                        </c:pt>
                        <c:pt idx="8">
                          <c:v>ML.PA</c:v>
                        </c:pt>
                        <c:pt idx="9">
                          <c:v>OR.PA</c:v>
                        </c:pt>
                        <c:pt idx="10">
                          <c:v>SGO.PA</c:v>
                        </c:pt>
                        <c:pt idx="11">
                          <c:v>TTE.PA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0F-C249-452B-A089-D9087A7F954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6"/>
          <c:order val="6"/>
          <c:tx>
            <c:strRef>
              <c:f>'Q6'!$M$59</c:f>
              <c:strCache>
                <c:ptCount val="1"/>
                <c:pt idx="0">
                  <c:v>Portefeuille tangent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8"/>
            <c:spPr>
              <a:solidFill>
                <a:schemeClr val="accent3">
                  <a:lumMod val="75000"/>
                </a:schemeClr>
              </a:solidFill>
              <a:ln w="9525" cap="rnd">
                <a:solidFill>
                  <a:schemeClr val="accent3">
                    <a:lumMod val="75000"/>
                    <a:alpha val="6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dLbl>
              <c:idx val="0"/>
              <c:layout>
                <c:manualLayout>
                  <c:x val="-0.1593189941458483"/>
                  <c:y val="-3.2213885102649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8429E84-19F1-4154-921F-2A8FD3F985A9}" type="SERIESNAME">
                      <a:rPr lang="en-US" b="1">
                        <a:solidFill>
                          <a:schemeClr val="accent3">
                            <a:lumMod val="75000"/>
                          </a:schemeClr>
                        </a:solidFill>
                      </a:rPr>
                      <a:pPr>
                        <a:defRPr/>
                      </a:pPr>
                      <a:t>[NOM DE SÉRIE]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07812793420964"/>
                      <c:h val="0.1251459466668776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B0D-4F86-A27A-50B712AF3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'Q6'!$S$61</c:f>
              <c:numCache>
                <c:formatCode>0.000%</c:formatCode>
                <c:ptCount val="1"/>
                <c:pt idx="0">
                  <c:v>0.698166218345323</c:v>
                </c:pt>
              </c:numCache>
            </c:numRef>
          </c:xVal>
          <c:yVal>
            <c:numRef>
              <c:f>'Q6'!$Q$61</c:f>
              <c:numCache>
                <c:formatCode>0.000%</c:formatCode>
                <c:ptCount val="1"/>
                <c:pt idx="0">
                  <c:v>1.2982564850780989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D-4F86-A27A-50B712AF3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</c:scatterChart>
      <c:valAx>
        <c:axId val="180125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Volatilité (Ecart-type annuel moyen)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0816"/>
        <c:crosses val="autoZero"/>
        <c:crossBetween val="midCat"/>
      </c:valAx>
      <c:valAx>
        <c:axId val="18012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Rentabilité anuelle moyenne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9320465060938"/>
          <c:y val="0.39584900320768379"/>
          <c:w val="0.25206795349390626"/>
          <c:h val="0.297594355276124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  <a:alpha val="94000"/>
        </a:sys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6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Frontières efficientes sans vente à découvert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7485305237565069E-2"/>
          <c:y val="0.15598232972255502"/>
          <c:w val="0.65156522476425183"/>
          <c:h val="0.67361967269346834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'Q4'!$A$3</c:f>
              <c:strCache>
                <c:ptCount val="1"/>
                <c:pt idx="0">
                  <c:v>Frontière efficiente des portefeuilles risqués sans vente à découvert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'Q4'!$C$25:$C$38</c:f>
              <c:numCache>
                <c:formatCode>0.000%</c:formatCode>
                <c:ptCount val="14"/>
                <c:pt idx="0">
                  <c:v>0.13387111442754696</c:v>
                </c:pt>
                <c:pt idx="1">
                  <c:v>0.13669960061879657</c:v>
                </c:pt>
                <c:pt idx="2">
                  <c:v>0.14211372673292588</c:v>
                </c:pt>
                <c:pt idx="3">
                  <c:v>0.14883144550440883</c:v>
                </c:pt>
                <c:pt idx="4">
                  <c:v>0.15665873440482353</c:v>
                </c:pt>
                <c:pt idx="5">
                  <c:v>0.16538025803166048</c:v>
                </c:pt>
                <c:pt idx="6">
                  <c:v>0.17518138759189142</c:v>
                </c:pt>
                <c:pt idx="7">
                  <c:v>0.18599650029233306</c:v>
                </c:pt>
                <c:pt idx="8">
                  <c:v>0.19765922247372023</c:v>
                </c:pt>
                <c:pt idx="9">
                  <c:v>0.21003785004409301</c:v>
                </c:pt>
                <c:pt idx="10">
                  <c:v>0.22434203967090008</c:v>
                </c:pt>
                <c:pt idx="11">
                  <c:v>0.2423834460292629</c:v>
                </c:pt>
                <c:pt idx="12">
                  <c:v>0.26311275246321525</c:v>
                </c:pt>
                <c:pt idx="13">
                  <c:v>0.2876775520102941</c:v>
                </c:pt>
              </c:numCache>
            </c:numRef>
          </c:xVal>
          <c:yVal>
            <c:numRef>
              <c:f>'Q4'!$B$25:$B$38</c:f>
              <c:numCache>
                <c:formatCode>0.000%</c:formatCode>
                <c:ptCount val="14"/>
                <c:pt idx="0">
                  <c:v>0.10384609030918678</c:v>
                </c:pt>
                <c:pt idx="1">
                  <c:v>0.12384609030918678</c:v>
                </c:pt>
                <c:pt idx="2">
                  <c:v>0.14384609030918677</c:v>
                </c:pt>
                <c:pt idx="3">
                  <c:v>0.16384609030918679</c:v>
                </c:pt>
                <c:pt idx="4">
                  <c:v>0.18384609030918678</c:v>
                </c:pt>
                <c:pt idx="5">
                  <c:v>0.20384609030918677</c:v>
                </c:pt>
                <c:pt idx="6">
                  <c:v>0.22384609030918678</c:v>
                </c:pt>
                <c:pt idx="7">
                  <c:v>0.2438460903091868</c:v>
                </c:pt>
                <c:pt idx="8">
                  <c:v>0.26384609030918676</c:v>
                </c:pt>
                <c:pt idx="9">
                  <c:v>0.28384609030918678</c:v>
                </c:pt>
                <c:pt idx="10">
                  <c:v>0.3038460903091868</c:v>
                </c:pt>
                <c:pt idx="11">
                  <c:v>0.32384609029254974</c:v>
                </c:pt>
                <c:pt idx="12">
                  <c:v>0.34384609030918678</c:v>
                </c:pt>
                <c:pt idx="13">
                  <c:v>0.3638460903091868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8E-466A-82B5-22D01C9E27BE}"/>
            </c:ext>
          </c:extLst>
        </c:ser>
        <c:ser>
          <c:idx val="4"/>
          <c:order val="4"/>
          <c:tx>
            <c:strRef>
              <c:f>'Q6'!$W$80</c:f>
              <c:strCache>
                <c:ptCount val="1"/>
                <c:pt idx="0">
                  <c:v>Frontière efficiente avec actif sans risque sans vente à découvert</c:v>
                </c:pt>
              </c:strCache>
            </c:strRef>
          </c:tx>
          <c:spPr>
            <a:ln w="95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3">
                  <a:lumMod val="75000"/>
                </a:schemeClr>
              </a:solidFill>
              <a:ln w="9525" cap="rnd">
                <a:solidFill>
                  <a:schemeClr val="accent3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'Q6'!$Y$82:$Y$102</c:f>
              <c:numCache>
                <c:formatCode>0.00%</c:formatCode>
                <c:ptCount val="21"/>
                <c:pt idx="0">
                  <c:v>0</c:v>
                </c:pt>
                <c:pt idx="1">
                  <c:v>2.1922295559839954E-2</c:v>
                </c:pt>
                <c:pt idx="2">
                  <c:v>4.3844591119679907E-2</c:v>
                </c:pt>
                <c:pt idx="3">
                  <c:v>6.5766886679519854E-2</c:v>
                </c:pt>
                <c:pt idx="4">
                  <c:v>8.7689182239359814E-2</c:v>
                </c:pt>
                <c:pt idx="5">
                  <c:v>0.10961147779919976</c:v>
                </c:pt>
                <c:pt idx="6">
                  <c:v>0.13153377335903971</c:v>
                </c:pt>
                <c:pt idx="7">
                  <c:v>0.15345606891887967</c:v>
                </c:pt>
                <c:pt idx="8">
                  <c:v>0.17537836447871963</c:v>
                </c:pt>
                <c:pt idx="9">
                  <c:v>0.19730066003855956</c:v>
                </c:pt>
                <c:pt idx="10">
                  <c:v>0.21922295559839952</c:v>
                </c:pt>
                <c:pt idx="11">
                  <c:v>0.24114525115823948</c:v>
                </c:pt>
                <c:pt idx="12">
                  <c:v>0.26306754671807941</c:v>
                </c:pt>
                <c:pt idx="13">
                  <c:v>0.2849898422779194</c:v>
                </c:pt>
                <c:pt idx="14">
                  <c:v>0.30691213783775934</c:v>
                </c:pt>
                <c:pt idx="15">
                  <c:v>0.32883443339759927</c:v>
                </c:pt>
                <c:pt idx="16">
                  <c:v>0.35075672895743926</c:v>
                </c:pt>
                <c:pt idx="17">
                  <c:v>0.37267902451727919</c:v>
                </c:pt>
                <c:pt idx="18">
                  <c:v>0.39460132007711912</c:v>
                </c:pt>
                <c:pt idx="19">
                  <c:v>0.41652361563695905</c:v>
                </c:pt>
                <c:pt idx="20">
                  <c:v>0.43844591119679904</c:v>
                </c:pt>
              </c:numCache>
            </c:numRef>
          </c:xVal>
          <c:yVal>
            <c:numRef>
              <c:f>'Q6'!$X$82:$X$102</c:f>
              <c:numCache>
                <c:formatCode>0.00%</c:formatCode>
                <c:ptCount val="21"/>
                <c:pt idx="0">
                  <c:v>5.0000000000000001E-3</c:v>
                </c:pt>
                <c:pt idx="1">
                  <c:v>3.4231188784580112E-2</c:v>
                </c:pt>
                <c:pt idx="2">
                  <c:v>6.3462377569160219E-2</c:v>
                </c:pt>
                <c:pt idx="3">
                  <c:v>9.2693566353740334E-2</c:v>
                </c:pt>
                <c:pt idx="4">
                  <c:v>0.12192475513832045</c:v>
                </c:pt>
                <c:pt idx="5">
                  <c:v>0.15115594392290055</c:v>
                </c:pt>
                <c:pt idx="6">
                  <c:v>0.18038713270748066</c:v>
                </c:pt>
                <c:pt idx="7">
                  <c:v>0.20961832149206075</c:v>
                </c:pt>
                <c:pt idx="8">
                  <c:v>0.23884951027664089</c:v>
                </c:pt>
                <c:pt idx="9">
                  <c:v>0.26808069906122101</c:v>
                </c:pt>
                <c:pt idx="10">
                  <c:v>0.29731188784580109</c:v>
                </c:pt>
                <c:pt idx="11">
                  <c:v>0.32654307663038123</c:v>
                </c:pt>
                <c:pt idx="12">
                  <c:v>0.35577426541496132</c:v>
                </c:pt>
                <c:pt idx="13">
                  <c:v>0.38500545419954141</c:v>
                </c:pt>
                <c:pt idx="14">
                  <c:v>0.41423664298412149</c:v>
                </c:pt>
                <c:pt idx="15">
                  <c:v>0.44346783176870164</c:v>
                </c:pt>
                <c:pt idx="16">
                  <c:v>0.47269902055328178</c:v>
                </c:pt>
                <c:pt idx="17">
                  <c:v>0.50193020933786181</c:v>
                </c:pt>
                <c:pt idx="18">
                  <c:v>0.53116139812244201</c:v>
                </c:pt>
                <c:pt idx="19">
                  <c:v>0.56039258690702209</c:v>
                </c:pt>
                <c:pt idx="20">
                  <c:v>0.58962377569160218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9-4114-99A6-393ED10F7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'Q5'!$A$3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des portefeuilles risqués avec vente à découvert 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4">
                            <a:shade val="51000"/>
                            <a:satMod val="130000"/>
                          </a:schemeClr>
                        </a:gs>
                        <a:gs pos="80000">
                          <a:schemeClr val="accent4">
                            <a:shade val="93000"/>
                            <a:satMod val="130000"/>
                          </a:schemeClr>
                        </a:gs>
                        <a:gs pos="100000">
                          <a:schemeClr val="accent4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4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'Q5'!$C$25:$C$30</c15:sqref>
                        </c15:formulaRef>
                      </c:ext>
                    </c:extLst>
                    <c:numCache>
                      <c:formatCode>0.000%</c:formatCode>
                      <c:ptCount val="6"/>
                      <c:pt idx="0">
                        <c:v>0.12547608775929808</c:v>
                      </c:pt>
                      <c:pt idx="1">
                        <c:v>0.12548859210154087</c:v>
                      </c:pt>
                      <c:pt idx="2">
                        <c:v>0.12883137540484083</c:v>
                      </c:pt>
                      <c:pt idx="3">
                        <c:v>0.15104735008349573</c:v>
                      </c:pt>
                      <c:pt idx="4">
                        <c:v>0.18723359793623517</c:v>
                      </c:pt>
                      <c:pt idx="5">
                        <c:v>0.23091320698582188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'Q5'!$B$25:$B$30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 formatCode="0.000%">
                        <c:v>4.6781237156585651E-2</c:v>
                      </c:pt>
                      <c:pt idx="1">
                        <c:v>0.05</c:v>
                      </c:pt>
                      <c:pt idx="2">
                        <c:v>0.1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C58E-466A-82B5-22D01C9E27BE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'Q6'!$A$3</c15:sqref>
                        </c15:formulaRef>
                      </c:ext>
                    </c:extLst>
                    <c:strCache>
                      <c:ptCount val="1"/>
                      <c:pt idx="0">
                        <c:v>Frontière efficiente avec actif sans risque avec vente à découvert</c:v>
                      </c:pt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hade val="51000"/>
                            <a:satMod val="130000"/>
                          </a:schemeClr>
                        </a:gs>
                        <a:gs pos="80000">
                          <a:schemeClr val="accent2">
                            <a:lumMod val="60000"/>
                            <a:shade val="93000"/>
                            <a:satMod val="130000"/>
                          </a:schemeClr>
                        </a:gs>
                        <a:gs pos="100000">
                          <a:schemeClr val="accent2">
                            <a:lumMod val="60000"/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 cap="rnd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'Q6'!$C$26:$C$31</c15:sqref>
                        </c15:formulaRef>
                      </c:ext>
                    </c:extLst>
                    <c:numCache>
                      <c:formatCode>0.000%</c:formatCode>
                      <c:ptCount val="6"/>
                      <c:pt idx="0">
                        <c:v>4.18288985040114E-6</c:v>
                      </c:pt>
                      <c:pt idx="1">
                        <c:v>2.4293309126143487E-2</c:v>
                      </c:pt>
                      <c:pt idx="2">
                        <c:v>5.1285879343460711E-2</c:v>
                      </c:pt>
                      <c:pt idx="3">
                        <c:v>0.10527100889563899</c:v>
                      </c:pt>
                      <c:pt idx="4">
                        <c:v>0.15925614052825829</c:v>
                      </c:pt>
                      <c:pt idx="5">
                        <c:v>0.2132413211445679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'Q6'!$B$26:$B$31</c15:sqref>
                        </c15:formulaRef>
                      </c:ext>
                    </c:extLst>
                    <c:numCache>
                      <c:formatCode>0%</c:formatCode>
                      <c:ptCount val="6"/>
                      <c:pt idx="0" formatCode="0.0%">
                        <c:v>5.0000000000000001E-3</c:v>
                      </c:pt>
                      <c:pt idx="1">
                        <c:v>5.0000002646694658E-2</c:v>
                      </c:pt>
                      <c:pt idx="2">
                        <c:v>0.10000000043980567</c:v>
                      </c:pt>
                      <c:pt idx="3">
                        <c:v>0.2</c:v>
                      </c:pt>
                      <c:pt idx="4">
                        <c:v>0.3</c:v>
                      </c:pt>
                      <c:pt idx="5">
                        <c:v>0.4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58E-466A-82B5-22D01C9E27B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5"/>
          <c:order val="5"/>
          <c:tx>
            <c:strRef>
              <c:f>'Q6'!$M$80:$N$80</c:f>
              <c:strCache>
                <c:ptCount val="1"/>
                <c:pt idx="0">
                  <c:v>Portefeuille tangent</c:v>
                </c:pt>
              </c:strCache>
            </c:strRef>
          </c:tx>
          <c:spPr>
            <a:ln w="25400" cap="rnd">
              <a:solidFill>
                <a:srgbClr val="8064A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8064A2"/>
              </a:solidFill>
              <a:ln w="9525" cap="rnd">
                <a:solidFill>
                  <a:srgbClr val="8064A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diamond"/>
              <c:size val="8"/>
              <c:spPr>
                <a:solidFill>
                  <a:srgbClr val="8064A2"/>
                </a:solidFill>
                <a:ln w="9525" cap="rnd">
                  <a:solidFill>
                    <a:srgbClr val="8064A2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AF3-42A6-9CAF-398634A95498}"/>
              </c:ext>
            </c:extLst>
          </c:dPt>
          <c:dLbls>
            <c:dLbl>
              <c:idx val="0"/>
              <c:layout>
                <c:manualLayout>
                  <c:x val="-3.05852376858294E-3"/>
                  <c:y val="3.120589594860855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F3-42A6-9CAF-398634A95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rgbClr val="8064A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'Q6'!$S$82</c:f>
              <c:numCache>
                <c:formatCode>0.000%</c:formatCode>
                <c:ptCount val="1"/>
                <c:pt idx="0">
                  <c:v>0.21922295559839952</c:v>
                </c:pt>
              </c:numCache>
            </c:numRef>
          </c:xVal>
          <c:yVal>
            <c:numRef>
              <c:f>'Q6'!$Q$82</c:f>
              <c:numCache>
                <c:formatCode>0.000%</c:formatCode>
                <c:ptCount val="1"/>
                <c:pt idx="0">
                  <c:v>0.29731188784580109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F3-42A6-9CAF-398634A95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258496"/>
        <c:axId val="18012508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3"/>
                <c:tx>
                  <c:strRef>
                    <c:extLst>
                      <c:ext uri="{02D57815-91ED-43cb-92C2-25804820EDAC}">
                        <c15:formulaRef>
                          <c15:sqref>Data!$AA$5</c15:sqref>
                        </c15:formulaRef>
                      </c:ext>
                    </c:extLst>
                    <c:strCache>
                      <c:ptCount val="1"/>
                      <c:pt idx="0">
                        <c:v>actifs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diamond"/>
                  <c:size val="5"/>
                  <c:spPr>
                    <a:solidFill>
                      <a:schemeClr val="accent6">
                        <a:lumMod val="75000"/>
                      </a:schemeClr>
                    </a:solidFill>
                    <a:ln w="9525" cap="rnd">
                      <a:solidFill>
                        <a:schemeClr val="accent6"/>
                      </a:solidFill>
                      <a:round/>
                    </a:ln>
                    <a:effectLst>
                      <a:outerShdw dist="23000" dir="5400000" rotWithShape="0">
                        <a:srgbClr val="000000">
                          <a:alpha val="35000"/>
                        </a:srgbClr>
                      </a:outerShdw>
                    </a:effectLst>
                    <a:scene3d>
                      <a:camera prst="orthographicFront">
                        <a:rot lat="0" lon="0" rev="0"/>
                      </a:camera>
                      <a:lightRig rig="threePt" dir="t">
                        <a:rot lat="0" lon="0" rev="1200000"/>
                      </a:lightRig>
                    </a:scene3d>
                    <a:sp3d>
                      <a:bevelT w="63500" h="25400"/>
                    </a:sp3d>
                  </c:spPr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3764FDF6-B9A2-469B-8965-93EC91E99824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C58E-466A-82B5-22D01C9E27BE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07A93AB8-DA4D-40AE-B1E5-A045D6CDB972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C58E-466A-82B5-22D01C9E27BE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8173C198-5FDE-49C2-B2E3-39953480EF95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C58E-466A-82B5-22D01C9E27BE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4FD65B3D-B427-474F-8E67-21CEE6985154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C58E-466A-82B5-22D01C9E27BE}"/>
                      </c:ext>
                    </c:extLst>
                  </c:dLbl>
                  <c:dLbl>
                    <c:idx val="4"/>
                    <c:layout>
                      <c:manualLayout>
                        <c:x val="0"/>
                        <c:y val="-2.827062956523515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5C6259C6-33A9-4675-AB4F-9EF743242741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C58E-466A-82B5-22D01C9E27BE}"/>
                      </c:ext>
                    </c:extLst>
                  </c:dLbl>
                  <c:dLbl>
                    <c:idx val="5"/>
                    <c:layout>
                      <c:manualLayout>
                        <c:x val="0"/>
                        <c:y val="1.6309479435448013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55DB671-4074-4776-838D-BBE331834DF2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5-C58E-466A-82B5-22D01C9E27BE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BE83A53D-E946-48FC-B14D-3BD01B3BB742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t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6-C58E-466A-82B5-22D01C9E27BE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8ADB1318-5163-460C-B82E-7E790AA07D37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b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7-C58E-466A-82B5-22D01C9E27BE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670C870C-3E92-46A7-B611-A764284FF10C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l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C58E-466A-82B5-22D01C9E27BE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6D8D7EE1-063B-459B-87E7-2E1698A899CC}" type="CELLRANGE">
                            <a:rPr lang="en-US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b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9-C58E-466A-82B5-22D01C9E27BE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DE204F25-360E-4D7B-A4EB-FDA754D94877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A-C58E-466A-82B5-22D01C9E27BE}"/>
                      </c:ext>
                    </c:extLst>
                  </c:dLbl>
                  <c:dLbl>
                    <c:idx val="11"/>
                    <c:tx>
                      <c:rich>
                        <a:bodyPr/>
                        <a:lstStyle/>
                        <a:p>
                          <a:fld id="{4BF80A2B-48A3-4904-B637-7D71591BC7D8}" type="CELLRANGE">
                            <a:rPr lang="fr-FR"/>
                            <a:pPr/>
                            <a:t>[PLAGECELL]</a:t>
                          </a:fld>
                          <a:endParaRPr lang="fr-FR"/>
                        </a:p>
                      </c:rich>
                    </c:tx>
                    <c:dLblPos val="r"/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B-C58E-466A-82B5-22D01C9E27BE}"/>
                      </c:ext>
                    </c:extLst>
                  </c:dLbl>
                  <c:spPr>
                    <a:solidFill>
                      <a:sysClr val="window" lastClr="FFFFFF"/>
                    </a:solidFill>
                    <a:ln>
                      <a:noFill/>
                    </a:ln>
                    <a:effectLst>
                      <a:outerShdw blurRad="50800" dist="12700" dir="5400000" algn="ctr" rotWithShape="0">
                        <a:srgbClr val="000000">
                          <a:alpha val="43137"/>
                        </a:srgbClr>
                      </a:outerShdw>
                    </a:effectLst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600" b="0" i="0" u="none" strike="noStrike" kern="1200" baseline="0">
                          <a:solidFill>
                            <a:schemeClr val="accent6">
                              <a:lumMod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DataLabelsRange val="1"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Data!$AG$6:$AG$17</c15:sqref>
                        </c15:formulaRef>
                      </c:ext>
                    </c:extLst>
                    <c:numCache>
                      <c:formatCode>0.000%</c:formatCode>
                      <c:ptCount val="12"/>
                      <c:pt idx="0">
                        <c:v>0.17846271911739889</c:v>
                      </c:pt>
                      <c:pt idx="1">
                        <c:v>0.35720236633155894</c:v>
                      </c:pt>
                      <c:pt idx="2">
                        <c:v>0.19844720092955354</c:v>
                      </c:pt>
                      <c:pt idx="3">
                        <c:v>0.28921138712078759</c:v>
                      </c:pt>
                      <c:pt idx="4">
                        <c:v>0.23412118197162674</c:v>
                      </c:pt>
                      <c:pt idx="5">
                        <c:v>0.22393764049302811</c:v>
                      </c:pt>
                      <c:pt idx="6">
                        <c:v>0.22719727339508558</c:v>
                      </c:pt>
                      <c:pt idx="7">
                        <c:v>0.321118014886558</c:v>
                      </c:pt>
                      <c:pt idx="8">
                        <c:v>0.22227067736299969</c:v>
                      </c:pt>
                      <c:pt idx="9">
                        <c:v>0.21461678779569088</c:v>
                      </c:pt>
                      <c:pt idx="10">
                        <c:v>0.29436043390512906</c:v>
                      </c:pt>
                      <c:pt idx="11">
                        <c:v>0.28264691819837012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Data!$AF$6:$AF$17</c15:sqref>
                        </c15:formulaRef>
                      </c:ext>
                    </c:extLst>
                    <c:numCache>
                      <c:formatCode>0.000%</c:formatCode>
                      <c:ptCount val="12"/>
                      <c:pt idx="0">
                        <c:v>8.0141008757000587E-2</c:v>
                      </c:pt>
                      <c:pt idx="1">
                        <c:v>0.32603851869449318</c:v>
                      </c:pt>
                      <c:pt idx="2">
                        <c:v>4.2391280458784326E-2</c:v>
                      </c:pt>
                      <c:pt idx="3">
                        <c:v>0.27105391138211221</c:v>
                      </c:pt>
                      <c:pt idx="4">
                        <c:v>0.13670020780747316</c:v>
                      </c:pt>
                      <c:pt idx="5">
                        <c:v>0.11676615658866349</c:v>
                      </c:pt>
                      <c:pt idx="6">
                        <c:v>0.19109489942337862</c:v>
                      </c:pt>
                      <c:pt idx="7">
                        <c:v>-3.7197964699965641E-2</c:v>
                      </c:pt>
                      <c:pt idx="8">
                        <c:v>0.15975950333029129</c:v>
                      </c:pt>
                      <c:pt idx="9">
                        <c:v>0.1096751689273163</c:v>
                      </c:pt>
                      <c:pt idx="10">
                        <c:v>0.3668735385715004</c:v>
                      </c:pt>
                      <c:pt idx="11">
                        <c:v>0.20708722422129289</c:v>
                      </c:pt>
                    </c:numCache>
                  </c:numRef>
                </c:yVal>
                <c:smooth val="0"/>
                <c:extLst>
                  <c:ext uri="{02D57815-91ED-43cb-92C2-25804820EDAC}">
                    <c15:datalabelsRange>
                      <c15:f>Data!$AA$6:$AA$17</c15:f>
                      <c15:dlblRangeCache>
                        <c:ptCount val="12"/>
                        <c:pt idx="0">
                          <c:v>BN.PA</c:v>
                        </c:pt>
                        <c:pt idx="1">
                          <c:v>BNP.PA</c:v>
                        </c:pt>
                        <c:pt idx="2">
                          <c:v>CA.PA</c:v>
                        </c:pt>
                        <c:pt idx="3">
                          <c:v>CS.PA</c:v>
                        </c:pt>
                        <c:pt idx="4">
                          <c:v>DG.PA</c:v>
                        </c:pt>
                        <c:pt idx="5">
                          <c:v>EN.PA</c:v>
                        </c:pt>
                        <c:pt idx="6">
                          <c:v>ENGI.PA</c:v>
                        </c:pt>
                        <c:pt idx="7">
                          <c:v>KER.PA</c:v>
                        </c:pt>
                        <c:pt idx="8">
                          <c:v>ML.PA</c:v>
                        </c:pt>
                        <c:pt idx="9">
                          <c:v>OR.PA</c:v>
                        </c:pt>
                        <c:pt idx="10">
                          <c:v>SGO.PA</c:v>
                        </c:pt>
                        <c:pt idx="11">
                          <c:v>TTE.PA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0C-C58E-466A-82B5-22D01C9E27BE}"/>
                  </c:ext>
                </c:extLst>
              </c15:ser>
            </c15:filteredScatterSeries>
          </c:ext>
        </c:extLst>
      </c:scatterChart>
      <c:valAx>
        <c:axId val="180125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Volatilité (Ecart-type annuel moyen)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0816"/>
        <c:crosses val="autoZero"/>
        <c:crossBetween val="midCat"/>
      </c:valAx>
      <c:valAx>
        <c:axId val="18012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Rentabilité anuelle moyenne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1258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33127816155544"/>
          <c:y val="0.44678814309221154"/>
          <c:w val="0.22966872183844461"/>
          <c:h val="0.31936933494475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  <a:alpha val="94000"/>
        </a:sys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39</xdr:row>
      <xdr:rowOff>0</xdr:rowOff>
    </xdr:from>
    <xdr:to>
      <xdr:col>13</xdr:col>
      <xdr:colOff>555092</xdr:colOff>
      <xdr:row>56</xdr:row>
      <xdr:rowOff>156093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A61DC93-318E-490E-BB7A-45AAF131D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13</xdr:col>
      <xdr:colOff>555092</xdr:colOff>
      <xdr:row>38</xdr:row>
      <xdr:rowOff>345479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1C8ABA6-55E0-4E6C-BB46-50750D826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747217</xdr:colOff>
      <xdr:row>22</xdr:row>
      <xdr:rowOff>0</xdr:rowOff>
    </xdr:from>
    <xdr:to>
      <xdr:col>13</xdr:col>
      <xdr:colOff>432153</xdr:colOff>
      <xdr:row>39</xdr:row>
      <xdr:rowOff>181362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6F7E424-B85B-4363-8886-C17DD2FC8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279400</xdr:colOff>
      <xdr:row>21</xdr:row>
      <xdr:rowOff>44450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7A33DCC3-3A29-946F-E3BC-D90A1502B266}"/>
            </a:ext>
          </a:extLst>
        </xdr:cNvPr>
        <xdr:cNvSpPr txBox="1"/>
      </xdr:nvSpPr>
      <xdr:spPr>
        <a:xfrm>
          <a:off x="7994650" y="429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743244</xdr:colOff>
      <xdr:row>22</xdr:row>
      <xdr:rowOff>178557</xdr:rowOff>
    </xdr:from>
    <xdr:to>
      <xdr:col>16</xdr:col>
      <xdr:colOff>549519</xdr:colOff>
      <xdr:row>48</xdr:row>
      <xdr:rowOff>170962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68010FC-FEA9-430A-95E7-926BB2F69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55</xdr:row>
      <xdr:rowOff>191221</xdr:rowOff>
    </xdr:from>
    <xdr:to>
      <xdr:col>12</xdr:col>
      <xdr:colOff>4797</xdr:colOff>
      <xdr:row>76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34DCA1C-79C5-4D96-AF56-5BA3CEC00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731702</xdr:colOff>
      <xdr:row>79</xdr:row>
      <xdr:rowOff>0</xdr:rowOff>
    </xdr:from>
    <xdr:to>
      <xdr:col>12</xdr:col>
      <xdr:colOff>13511</xdr:colOff>
      <xdr:row>97</xdr:row>
      <xdr:rowOff>54043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BD0A951-BDD5-466D-B5F1-52379A951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eles\Documents\Cours\M1\S2\Th&#233;orie%20Financi&#232;re\M1-S2%20Th&#233;orie%20Financi&#232;re%20Excel%204.xlsx" TargetMode="External"/><Relationship Id="rId1" Type="http://schemas.openxmlformats.org/officeDocument/2006/relationships/externalLinkPath" Target="/Users/celes/Documents/Cours/M1/S2/Th&#233;orie%20Financi&#232;re/M1-S2%20Th&#233;orie%20Financi&#232;re%20Excel%2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VP"/>
      <sheetName val="MVP With Target"/>
      <sheetName val="Efficient Frontier"/>
      <sheetName val="Tangency portfolio"/>
      <sheetName val="Two fund theorem "/>
      <sheetName val="Chart1"/>
      <sheetName val="Feuil1"/>
      <sheetName val="Graph1"/>
      <sheetName val="Feuil2"/>
    </sheetNames>
    <sheetDataSet>
      <sheetData sheetId="0">
        <row r="3">
          <cell r="E3">
            <v>3.5035566408323573E-2</v>
          </cell>
          <cell r="F3">
            <v>-2.3877129581827677E-2</v>
          </cell>
          <cell r="G3">
            <v>-0.12188314064265569</v>
          </cell>
        </row>
        <row r="4">
          <cell r="E4">
            <v>0.26884808698328044</v>
          </cell>
          <cell r="F4">
            <v>0.13632156551632954</v>
          </cell>
          <cell r="G4">
            <v>0.16700542005420066</v>
          </cell>
        </row>
        <row r="5">
          <cell r="E5">
            <v>-1.2772837510105078E-2</v>
          </cell>
          <cell r="F5">
            <v>2.2515708633930678E-2</v>
          </cell>
          <cell r="G5">
            <v>1.6545718432510893E-2</v>
          </cell>
        </row>
        <row r="6">
          <cell r="E6">
            <v>0.1295447101211922</v>
          </cell>
          <cell r="F6">
            <v>0.11368421052631573</v>
          </cell>
          <cell r="G6">
            <v>-5.1113649343232613E-2</v>
          </cell>
        </row>
        <row r="7">
          <cell r="E7">
            <v>0.14709293895896761</v>
          </cell>
          <cell r="F7">
            <v>7.3570735196443965E-3</v>
          </cell>
          <cell r="G7">
            <v>3.9873608185374748E-2</v>
          </cell>
        </row>
        <row r="8">
          <cell r="E8">
            <v>9.0501169184099242E-2</v>
          </cell>
          <cell r="F8">
            <v>0.10011665060607602</v>
          </cell>
          <cell r="G8">
            <v>0.10374764867602376</v>
          </cell>
        </row>
        <row r="9">
          <cell r="E9">
            <v>-8.756882063170103E-2</v>
          </cell>
          <cell r="F9">
            <v>-6.5142224885897354E-2</v>
          </cell>
          <cell r="G9">
            <v>2.2810697430519073E-2</v>
          </cell>
        </row>
        <row r="10">
          <cell r="E10">
            <v>-3.5759654471544687E-2</v>
          </cell>
          <cell r="F10">
            <v>-3.7380412269454641E-2</v>
          </cell>
          <cell r="G10">
            <v>1.2048192771084308E-2</v>
          </cell>
        </row>
        <row r="11">
          <cell r="E11">
            <v>4.3409525064225039E-2</v>
          </cell>
          <cell r="F11">
            <v>5.7274590163934463E-2</v>
          </cell>
          <cell r="G11">
            <v>0.12715298885511661</v>
          </cell>
        </row>
        <row r="12">
          <cell r="E12">
            <v>2.8093434343434271E-2</v>
          </cell>
          <cell r="F12">
            <v>4.1767613140808242E-2</v>
          </cell>
          <cell r="G12">
            <v>9.6629213483146001E-2</v>
          </cell>
        </row>
        <row r="13">
          <cell r="E13">
            <v>-1.5597175314706738E-2</v>
          </cell>
          <cell r="F13">
            <v>4.2883720930232551E-2</v>
          </cell>
          <cell r="G13">
            <v>-9.5081967213114765E-2</v>
          </cell>
        </row>
        <row r="14">
          <cell r="E14">
            <v>-3.5306593475141888E-2</v>
          </cell>
          <cell r="F14">
            <v>1.7839621800018093E-3</v>
          </cell>
          <cell r="G14">
            <v>0.11582880434782614</v>
          </cell>
        </row>
        <row r="15">
          <cell r="E15">
            <v>3.2331070158411214E-4</v>
          </cell>
          <cell r="F15">
            <v>1.6917460600124577E-2</v>
          </cell>
          <cell r="G15">
            <v>1.5829528158295306E-2</v>
          </cell>
        </row>
        <row r="16">
          <cell r="E16">
            <v>0.1206851971557855</v>
          </cell>
          <cell r="F16">
            <v>6.960861570790651E-2</v>
          </cell>
          <cell r="G16">
            <v>4.774747777444812E-2</v>
          </cell>
        </row>
        <row r="17">
          <cell r="E17">
            <v>-7.048508969256502E-2</v>
          </cell>
          <cell r="F17">
            <v>-9.9050425671250303E-3</v>
          </cell>
          <cell r="G17">
            <v>-5.3389264944227501E-3</v>
          </cell>
        </row>
        <row r="18">
          <cell r="E18">
            <v>6.7390629847967634E-2</v>
          </cell>
          <cell r="F18">
            <v>8.7515502273666751E-2</v>
          </cell>
          <cell r="G18">
            <v>-1.4281606441100306E-2</v>
          </cell>
        </row>
        <row r="19">
          <cell r="E19">
            <v>-3.2730655194465413E-2</v>
          </cell>
          <cell r="F19">
            <v>5.1697266887140395E-2</v>
          </cell>
          <cell r="G19">
            <v>8.6056009334889091E-2</v>
          </cell>
        </row>
        <row r="20">
          <cell r="E20">
            <v>4.3034018511840348E-2</v>
          </cell>
          <cell r="F20">
            <v>5.9565547403043193E-2</v>
          </cell>
          <cell r="G20">
            <v>-3.2411137971170248E-2</v>
          </cell>
        </row>
        <row r="21">
          <cell r="E21">
            <v>-5.3532326841074063E-2</v>
          </cell>
          <cell r="F21">
            <v>-6.4335664335664192E-2</v>
          </cell>
          <cell r="G21">
            <v>-5.7462755621356471E-2</v>
          </cell>
        </row>
        <row r="22">
          <cell r="E22">
            <v>2.6605783866057865E-2</v>
          </cell>
          <cell r="F22">
            <v>0.17630974516023171</v>
          </cell>
          <cell r="G22">
            <v>-3.8484193991753401E-2</v>
          </cell>
        </row>
        <row r="23">
          <cell r="E23">
            <v>3.991222867987184E-2</v>
          </cell>
          <cell r="F23">
            <v>-3.1303269796993365E-3</v>
          </cell>
          <cell r="G23">
            <v>3.3694098427608711E-2</v>
          </cell>
        </row>
        <row r="24">
          <cell r="E24">
            <v>-4.9215854006273145E-2</v>
          </cell>
          <cell r="F24">
            <v>1.9214028105956994E-2</v>
          </cell>
          <cell r="G24">
            <v>7.1414460687475353E-2</v>
          </cell>
        </row>
        <row r="25">
          <cell r="E25">
            <v>-0.10286708253358928</v>
          </cell>
          <cell r="F25">
            <v>-7.534622658776155E-2</v>
          </cell>
          <cell r="G25">
            <v>-0.1593989121416059</v>
          </cell>
        </row>
        <row r="26">
          <cell r="E26">
            <v>2.6676472554656744E-2</v>
          </cell>
          <cell r="F26">
            <v>-3.919239904988122E-2</v>
          </cell>
          <cell r="G26">
            <v>-6.6461943408642268E-2</v>
          </cell>
        </row>
        <row r="27">
          <cell r="E27">
            <v>6.1474342276634522E-2</v>
          </cell>
          <cell r="F27">
            <v>3.3992583436341081E-2</v>
          </cell>
          <cell r="G27">
            <v>-3.8768796992481001E-3</v>
          </cell>
        </row>
        <row r="28">
          <cell r="E28">
            <v>-0.23754601226993866</v>
          </cell>
          <cell r="F28">
            <v>-9.9887095702995241E-2</v>
          </cell>
          <cell r="G28">
            <v>-0.1795022997995048</v>
          </cell>
        </row>
        <row r="29">
          <cell r="E29">
            <v>-3.274863212101712E-2</v>
          </cell>
          <cell r="F29">
            <v>-2.0327602744779721E-2</v>
          </cell>
          <cell r="G29">
            <v>5.1746442432082922E-2</v>
          </cell>
        </row>
        <row r="30">
          <cell r="E30">
            <v>-0.11646285666749855</v>
          </cell>
          <cell r="F30">
            <v>-5.313500282432692E-2</v>
          </cell>
          <cell r="G30">
            <v>-2.0090200902009005E-2</v>
          </cell>
        </row>
        <row r="31">
          <cell r="E31">
            <v>0.27059598907824117</v>
          </cell>
          <cell r="F31">
            <v>9.3103722558065649E-2</v>
          </cell>
          <cell r="G31">
            <v>0.10990237099023703</v>
          </cell>
        </row>
        <row r="32">
          <cell r="E32">
            <v>-6.0615042608373422E-2</v>
          </cell>
          <cell r="F32">
            <v>-6.865563034382402E-2</v>
          </cell>
          <cell r="G32">
            <v>-8.4192008042221888E-3</v>
          </cell>
        </row>
        <row r="33">
          <cell r="E33">
            <v>-0.10862191370197993</v>
          </cell>
          <cell r="F33">
            <v>-0.10735213688569416</v>
          </cell>
          <cell r="G33">
            <v>7.9837789887214506E-3</v>
          </cell>
        </row>
        <row r="34">
          <cell r="E34">
            <v>-9.3451327433628342E-2</v>
          </cell>
          <cell r="F34">
            <v>-3.3260393873084941E-3</v>
          </cell>
          <cell r="G34">
            <v>2.7659039476992563E-2</v>
          </cell>
        </row>
        <row r="35">
          <cell r="E35">
            <v>-5.7594689574384926E-2</v>
          </cell>
          <cell r="F35">
            <v>9.9148151400720044E-2</v>
          </cell>
          <cell r="G35">
            <v>0.1802055297284072</v>
          </cell>
        </row>
        <row r="36">
          <cell r="E36">
            <v>-0.1298943443132381</v>
          </cell>
          <cell r="F36">
            <v>-5.7406519654841823E-2</v>
          </cell>
          <cell r="G36">
            <v>-2.3737949621643953E-2</v>
          </cell>
        </row>
        <row r="37">
          <cell r="E37">
            <v>0.22773809523809518</v>
          </cell>
          <cell r="F37">
            <v>3.3312142403051553E-2</v>
          </cell>
          <cell r="G37">
            <v>0.10023359524315138</v>
          </cell>
        </row>
        <row r="38">
          <cell r="E38">
            <v>-8.629884611655185E-2</v>
          </cell>
          <cell r="F38">
            <v>6.4804560928591283E-3</v>
          </cell>
          <cell r="G38">
            <v>-6.4659332175255768E-2</v>
          </cell>
        </row>
        <row r="39">
          <cell r="E39">
            <v>9.6147723654886996E-2</v>
          </cell>
          <cell r="F39">
            <v>0.15880842740127971</v>
          </cell>
          <cell r="G39">
            <v>2.5175402393726763E-2</v>
          </cell>
        </row>
        <row r="40">
          <cell r="E40">
            <v>2.0911995352889887E-2</v>
          </cell>
          <cell r="F40">
            <v>6.5761710507806964E-2</v>
          </cell>
          <cell r="G40">
            <v>9.7524154589371956E-2</v>
          </cell>
        </row>
        <row r="41">
          <cell r="E41">
            <v>0.14348032242769079</v>
          </cell>
          <cell r="F41">
            <v>6.8765261004421485E-2</v>
          </cell>
          <cell r="G41">
            <v>-0.14571297569922054</v>
          </cell>
        </row>
        <row r="42">
          <cell r="E42">
            <v>8.1107978105821987E-2</v>
          </cell>
          <cell r="F42">
            <v>3.9271380055572798E-2</v>
          </cell>
          <cell r="G42">
            <v>1.9643623872906808E-2</v>
          </cell>
        </row>
        <row r="43">
          <cell r="E43">
            <v>2.5467934949370916E-2</v>
          </cell>
          <cell r="F43">
            <v>-1.3576139266829044E-2</v>
          </cell>
          <cell r="G43">
            <v>2.5371091693862625E-2</v>
          </cell>
        </row>
        <row r="44">
          <cell r="E44">
            <v>3.2390783961699463E-2</v>
          </cell>
          <cell r="F44">
            <v>-2.4303568739647622E-2</v>
          </cell>
          <cell r="G44">
            <v>-4.0657084188911785E-2</v>
          </cell>
        </row>
        <row r="45">
          <cell r="E45">
            <v>-7.8907325556119026E-2</v>
          </cell>
          <cell r="F45">
            <v>-3.4600901290203212E-2</v>
          </cell>
          <cell r="G45">
            <v>-5.8326198630137015E-2</v>
          </cell>
        </row>
        <row r="46">
          <cell r="E46">
            <v>4.6963499056010057E-2</v>
          </cell>
          <cell r="F46">
            <v>7.0818812545960397E-2</v>
          </cell>
          <cell r="G46">
            <v>1.0569382884418763E-2</v>
          </cell>
        </row>
        <row r="47">
          <cell r="E47">
            <v>9.7678262829664131E-2</v>
          </cell>
          <cell r="F47">
            <v>0.12068553684461948</v>
          </cell>
          <cell r="G47">
            <v>7.6585695006747667E-2</v>
          </cell>
        </row>
        <row r="48">
          <cell r="E48">
            <v>4.0043808611130084E-2</v>
          </cell>
          <cell r="F48">
            <v>-5.5682847551552592E-3</v>
          </cell>
          <cell r="G48">
            <v>-2.7890943277969305E-2</v>
          </cell>
        </row>
        <row r="49">
          <cell r="E49">
            <v>2.1455837830722593E-2</v>
          </cell>
          <cell r="F49">
            <v>5.7280643000669783E-2</v>
          </cell>
          <cell r="G49">
            <v>-3.0947775628626644E-2</v>
          </cell>
        </row>
        <row r="50">
          <cell r="E50">
            <v>0.13891752577319591</v>
          </cell>
          <cell r="F50">
            <v>4.0392266173377586E-2</v>
          </cell>
          <cell r="G50">
            <v>2.0070969172765445E-2</v>
          </cell>
        </row>
        <row r="51">
          <cell r="E51">
            <v>2.0479746548993011E-2</v>
          </cell>
          <cell r="F51">
            <v>1.8997978420245053E-2</v>
          </cell>
          <cell r="G51">
            <v>-3.1199043374279711E-2</v>
          </cell>
        </row>
        <row r="52">
          <cell r="E52">
            <v>-2.9825923051336044E-2</v>
          </cell>
          <cell r="F52">
            <v>-7.4622941415493527E-2</v>
          </cell>
          <cell r="G52">
            <v>-3.1754937163375206E-2</v>
          </cell>
        </row>
        <row r="53">
          <cell r="E53">
            <v>8.228571428571415E-3</v>
          </cell>
          <cell r="F53">
            <v>6.6279219940591577E-2</v>
          </cell>
          <cell r="G53">
            <v>-9.3405956657781924E-2</v>
          </cell>
        </row>
        <row r="54">
          <cell r="E54">
            <v>9.5273180684652015E-2</v>
          </cell>
          <cell r="F54">
            <v>7.858336765097744E-2</v>
          </cell>
          <cell r="G54">
            <v>-2.2242106608717997E-2</v>
          </cell>
        </row>
        <row r="55">
          <cell r="E55">
            <v>-3.2445019404915967E-2</v>
          </cell>
          <cell r="F55">
            <v>-6.3986524424480648E-2</v>
          </cell>
          <cell r="G55">
            <v>1.3073604392732192E-3</v>
          </cell>
        </row>
        <row r="56">
          <cell r="E56">
            <v>-4.5352444111669644E-2</v>
          </cell>
          <cell r="F56">
            <v>-2.8793550244744907E-3</v>
          </cell>
          <cell r="G56">
            <v>0.21321321321321318</v>
          </cell>
        </row>
        <row r="57">
          <cell r="E57">
            <v>4.3865546218487463E-2</v>
          </cell>
          <cell r="F57">
            <v>3.3400712291847136E-2</v>
          </cell>
          <cell r="G57">
            <v>3.7128712871287162E-2</v>
          </cell>
        </row>
        <row r="58">
          <cell r="E58">
            <v>3.7567756131590818E-4</v>
          </cell>
          <cell r="F58">
            <v>-5.5653874813710827E-2</v>
          </cell>
          <cell r="G58">
            <v>2.1791013800974758E-3</v>
          </cell>
        </row>
        <row r="59">
          <cell r="E59">
            <v>0.11528969957081535</v>
          </cell>
          <cell r="F59">
            <v>4.2092025447551397E-2</v>
          </cell>
          <cell r="G59">
            <v>4.8664319734934798E-2</v>
          </cell>
        </row>
        <row r="60">
          <cell r="E60">
            <v>5.5317716099860505E-2</v>
          </cell>
          <cell r="F60">
            <v>-2.6265351032867504E-3</v>
          </cell>
          <cell r="G60">
            <v>-0.10387045813586093</v>
          </cell>
        </row>
        <row r="61">
          <cell r="E61">
            <v>8.3367519030037932E-2</v>
          </cell>
          <cell r="F61">
            <v>-1.5278766310794775E-2</v>
          </cell>
          <cell r="G61">
            <v>0.18003525782282931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M61"/>
  <sheetViews>
    <sheetView topLeftCell="U17" zoomScale="74" workbookViewId="0">
      <selection activeCell="R21" sqref="R21"/>
    </sheetView>
  </sheetViews>
  <sheetFormatPr baseColWidth="10" defaultColWidth="8.7265625" defaultRowHeight="14.5" x14ac:dyDescent="0.35"/>
  <cols>
    <col min="1" max="1" width="13.453125" customWidth="1"/>
    <col min="2" max="5" width="9.1796875" bestFit="1" customWidth="1"/>
    <col min="6" max="6" width="10.1796875" bestFit="1" customWidth="1"/>
    <col min="7" max="8" width="9.1796875" bestFit="1" customWidth="1"/>
    <col min="9" max="9" width="10.1796875" bestFit="1" customWidth="1"/>
    <col min="10" max="10" width="9.1796875" bestFit="1" customWidth="1"/>
    <col min="11" max="11" width="10.1796875" bestFit="1" customWidth="1"/>
    <col min="12" max="13" width="9.1796875" bestFit="1" customWidth="1"/>
    <col min="27" max="27" width="13.453125" customWidth="1"/>
    <col min="28" max="28" width="8.7265625" customWidth="1"/>
  </cols>
  <sheetData>
    <row r="1" spans="1:39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4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</row>
    <row r="2" spans="1:39" x14ac:dyDescent="0.35">
      <c r="A2" s="3">
        <v>43891</v>
      </c>
      <c r="B2" s="61">
        <v>49.322734832763672</v>
      </c>
      <c r="C2" s="61">
        <v>19.0633430480957</v>
      </c>
      <c r="D2" s="61">
        <v>12.30040264129639</v>
      </c>
      <c r="E2" s="61">
        <v>11.87824630737305</v>
      </c>
      <c r="F2" s="61">
        <v>63.399608612060547</v>
      </c>
      <c r="G2" s="61">
        <v>20.44649696350098</v>
      </c>
      <c r="H2" s="61">
        <v>6.9629092216491699</v>
      </c>
      <c r="I2" s="61">
        <v>415.25408935546881</v>
      </c>
      <c r="J2" s="61">
        <v>17.27541542053223</v>
      </c>
      <c r="K2" s="61">
        <v>219.99116516113281</v>
      </c>
      <c r="L2" s="61">
        <v>19.74900054931641</v>
      </c>
      <c r="M2" s="61">
        <v>25.654384613037109</v>
      </c>
    </row>
    <row r="3" spans="1:39" x14ac:dyDescent="0.35">
      <c r="A3" s="3">
        <v>43922</v>
      </c>
      <c r="B3" s="61">
        <v>53.208663940429688</v>
      </c>
      <c r="C3" s="61">
        <v>19.87064170837402</v>
      </c>
      <c r="D3" s="61">
        <v>11.515359878540041</v>
      </c>
      <c r="E3" s="61">
        <v>12.185208320617679</v>
      </c>
      <c r="F3" s="61">
        <v>62.810997009277337</v>
      </c>
      <c r="G3" s="61">
        <v>21.510147094726559</v>
      </c>
      <c r="H3" s="61">
        <v>7.3268866539001456</v>
      </c>
      <c r="I3" s="61">
        <v>401.55477905273438</v>
      </c>
      <c r="J3" s="61">
        <v>18.988893508911129</v>
      </c>
      <c r="K3" s="61">
        <v>244.3016357421875</v>
      </c>
      <c r="L3" s="61">
        <v>21.57109260559082</v>
      </c>
      <c r="M3" s="61">
        <v>24.3260498046875</v>
      </c>
      <c r="N3" s="5">
        <f>(B3-B2)/B2</f>
        <v>7.8785759160392391E-2</v>
      </c>
      <c r="O3" s="5">
        <f t="shared" ref="O3:X3" si="0">(C3-C2)/C2</f>
        <v>4.234822078381284E-2</v>
      </c>
      <c r="P3" s="5">
        <f t="shared" si="0"/>
        <v>-6.3822525623731169E-2</v>
      </c>
      <c r="Q3" s="5">
        <f t="shared" si="0"/>
        <v>2.5842368082070483E-2</v>
      </c>
      <c r="R3" s="5">
        <f t="shared" si="0"/>
        <v>-9.284151995084056E-3</v>
      </c>
      <c r="S3" s="5">
        <f t="shared" si="0"/>
        <v>5.2021142454098591E-2</v>
      </c>
      <c r="T3" s="5">
        <f t="shared" si="0"/>
        <v>5.2273758089404959E-2</v>
      </c>
      <c r="U3" s="5">
        <f t="shared" si="0"/>
        <v>-3.2990187583697581E-2</v>
      </c>
      <c r="V3" s="5">
        <f t="shared" si="0"/>
        <v>9.9185926744336975E-2</v>
      </c>
      <c r="W3" s="5">
        <f t="shared" si="0"/>
        <v>0.11050657676751906</v>
      </c>
      <c r="X3" s="5">
        <f t="shared" si="0"/>
        <v>9.226249458671873E-2</v>
      </c>
      <c r="Y3" s="5">
        <f>(M3-M2)/M2</f>
        <v>-5.1778081150095988E-2</v>
      </c>
    </row>
    <row r="4" spans="1:39" x14ac:dyDescent="0.35">
      <c r="A4" s="3">
        <v>43952</v>
      </c>
      <c r="B4" s="61">
        <v>51.778781890869141</v>
      </c>
      <c r="C4" s="61">
        <v>22.351442337036129</v>
      </c>
      <c r="D4" s="61">
        <v>11.651889801025391</v>
      </c>
      <c r="E4" s="61">
        <v>12.323642730712891</v>
      </c>
      <c r="F4" s="61">
        <v>70.994384765625</v>
      </c>
      <c r="G4" s="61">
        <v>21.073972702026371</v>
      </c>
      <c r="H4" s="61">
        <v>7.867673397064209</v>
      </c>
      <c r="I4" s="61">
        <v>409.75689697265619</v>
      </c>
      <c r="J4" s="61">
        <v>19.363983154296879</v>
      </c>
      <c r="K4" s="61">
        <v>241.17073059082031</v>
      </c>
      <c r="L4" s="61">
        <v>25.901351928710941</v>
      </c>
      <c r="M4" s="61">
        <v>24.899948120117191</v>
      </c>
      <c r="N4" s="5">
        <f t="shared" ref="N4:N61" si="1">(B4-B3)/B3</f>
        <v>-2.6873105687475751E-2</v>
      </c>
      <c r="O4" s="5">
        <f t="shared" ref="O4:O61" si="2">(C4-C3)/C3</f>
        <v>0.12484753462273106</v>
      </c>
      <c r="P4" s="5">
        <f t="shared" ref="P4:P61" si="3">(D4-D3)/D3</f>
        <v>1.1856331363102787E-2</v>
      </c>
      <c r="Q4" s="5">
        <f t="shared" ref="Q4:Q61" si="4">(E4-E3)/E3</f>
        <v>1.1360857069712692E-2</v>
      </c>
      <c r="R4" s="5">
        <f t="shared" ref="R4:R61" si="5">(F4-F3)/F3</f>
        <v>0.13028590765943354</v>
      </c>
      <c r="S4" s="5">
        <f t="shared" ref="S4:S61" si="6">(G4-G3)/G3</f>
        <v>-2.0277610877292466E-2</v>
      </c>
      <c r="T4" s="5">
        <f t="shared" ref="T4:T61" si="7">(H4-H3)/H3</f>
        <v>7.3808531332499788E-2</v>
      </c>
      <c r="U4" s="5">
        <f t="shared" ref="U4:U61" si="8">(I4-I3)/I3</f>
        <v>2.0425900394637493E-2</v>
      </c>
      <c r="V4" s="5">
        <f t="shared" ref="V4:V61" si="9">(J4-J3)/J3</f>
        <v>1.9753107004877708E-2</v>
      </c>
      <c r="W4" s="5">
        <f t="shared" ref="W4:W61" si="10">(K4-K3)/K3</f>
        <v>-1.2815735522422963E-2</v>
      </c>
      <c r="X4" s="5">
        <f t="shared" ref="X4:X61" si="11">(L4-L3)/L3</f>
        <v>0.20074362491948133</v>
      </c>
      <c r="Y4" s="5">
        <f t="shared" ref="Y4:Y61" si="12">(M4-M3)/M3</f>
        <v>2.3591923885607761E-2</v>
      </c>
      <c r="AA4" s="75" t="s">
        <v>28</v>
      </c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</row>
    <row r="5" spans="1:39" ht="15" thickBot="1" x14ac:dyDescent="0.4">
      <c r="A5" s="3">
        <v>43983</v>
      </c>
      <c r="B5" s="61">
        <v>51.778781890869141</v>
      </c>
      <c r="C5" s="61">
        <v>27.516183853149411</v>
      </c>
      <c r="D5" s="61">
        <v>11.73721981048584</v>
      </c>
      <c r="E5" s="61">
        <v>14.002907752990721</v>
      </c>
      <c r="F5" s="61">
        <v>70.105262756347656</v>
      </c>
      <c r="G5" s="61">
        <v>23.270133972167969</v>
      </c>
      <c r="H5" s="61">
        <v>8.1376972198486328</v>
      </c>
      <c r="I5" s="61">
        <v>430.17138671875</v>
      </c>
      <c r="J5" s="61">
        <v>19.679399490356449</v>
      </c>
      <c r="K5" s="61">
        <v>263.08697509765619</v>
      </c>
      <c r="L5" s="61">
        <v>28.5565299987793</v>
      </c>
      <c r="M5" s="61">
        <v>25.159126281738281</v>
      </c>
      <c r="N5" s="5">
        <f t="shared" si="1"/>
        <v>0</v>
      </c>
      <c r="O5" s="5">
        <f t="shared" si="2"/>
        <v>0.23106971971805834</v>
      </c>
      <c r="P5" s="5">
        <f t="shared" si="3"/>
        <v>7.3232763884309993E-3</v>
      </c>
      <c r="Q5" s="5">
        <f t="shared" si="4"/>
        <v>0.13626368915197276</v>
      </c>
      <c r="R5" s="5">
        <f t="shared" si="5"/>
        <v>-1.2523835683802567E-2</v>
      </c>
      <c r="S5" s="5">
        <f t="shared" si="6"/>
        <v>0.10421202025807055</v>
      </c>
      <c r="T5" s="5">
        <f t="shared" si="7"/>
        <v>3.4320670057959211E-2</v>
      </c>
      <c r="U5" s="5">
        <f t="shared" si="8"/>
        <v>4.9820978968063839E-2</v>
      </c>
      <c r="V5" s="5">
        <f t="shared" si="9"/>
        <v>1.6288814834543957E-2</v>
      </c>
      <c r="W5" s="5">
        <f t="shared" si="10"/>
        <v>9.0874396130680712E-2</v>
      </c>
      <c r="X5" s="5">
        <f t="shared" si="11"/>
        <v>0.10251117692143193</v>
      </c>
      <c r="Y5" s="5">
        <f t="shared" si="12"/>
        <v>1.0408783197893281E-2</v>
      </c>
      <c r="AA5" s="49" t="s">
        <v>55</v>
      </c>
      <c r="AB5" s="8" t="s">
        <v>30</v>
      </c>
      <c r="AC5" s="8" t="s">
        <v>31</v>
      </c>
      <c r="AD5" s="58" t="s">
        <v>27</v>
      </c>
      <c r="AE5" s="58"/>
      <c r="AF5" s="59" t="s">
        <v>30</v>
      </c>
      <c r="AG5" s="8" t="s">
        <v>31</v>
      </c>
      <c r="AH5" s="8" t="s">
        <v>27</v>
      </c>
    </row>
    <row r="6" spans="1:39" x14ac:dyDescent="0.35">
      <c r="A6" s="3">
        <v>44013</v>
      </c>
      <c r="B6" s="61">
        <v>47.556400299072273</v>
      </c>
      <c r="C6" s="61">
        <v>26.53985595703125</v>
      </c>
      <c r="D6" s="61">
        <v>11.700667381286619</v>
      </c>
      <c r="E6" s="61">
        <v>12.687785148620611</v>
      </c>
      <c r="F6" s="61">
        <v>63.163887023925781</v>
      </c>
      <c r="G6" s="61">
        <v>22.95639801025391</v>
      </c>
      <c r="H6" s="61">
        <v>8.3522367477416992</v>
      </c>
      <c r="I6" s="61">
        <v>431.80599975585938</v>
      </c>
      <c r="J6" s="61">
        <v>18.826921463012699</v>
      </c>
      <c r="K6" s="61">
        <v>260.60067749023438</v>
      </c>
      <c r="L6" s="61">
        <v>27.7724494934082</v>
      </c>
      <c r="M6" s="61">
        <v>23.635551452636719</v>
      </c>
      <c r="N6" s="5">
        <f t="shared" si="1"/>
        <v>-8.1546560919415104E-2</v>
      </c>
      <c r="O6" s="5">
        <f t="shared" si="2"/>
        <v>-3.5481951324671544E-2</v>
      </c>
      <c r="P6" s="5">
        <f t="shared" si="3"/>
        <v>-3.1142323130529757E-3</v>
      </c>
      <c r="Q6" s="5">
        <f t="shared" si="4"/>
        <v>-9.3917822467210643E-2</v>
      </c>
      <c r="R6" s="5">
        <f t="shared" si="5"/>
        <v>-9.9013618371944126E-2</v>
      </c>
      <c r="S6" s="5">
        <f t="shared" si="6"/>
        <v>-1.3482344463048643E-2</v>
      </c>
      <c r="T6" s="5">
        <f t="shared" si="7"/>
        <v>2.636366555513809E-2</v>
      </c>
      <c r="U6" s="5">
        <f t="shared" si="8"/>
        <v>3.7999111228151027E-3</v>
      </c>
      <c r="V6" s="5">
        <f t="shared" si="9"/>
        <v>-4.3318294735644358E-2</v>
      </c>
      <c r="W6" s="5">
        <f t="shared" si="10"/>
        <v>-9.4504777612001521E-3</v>
      </c>
      <c r="X6" s="5">
        <f t="shared" si="11"/>
        <v>-2.7457135212318084E-2</v>
      </c>
      <c r="Y6" s="5">
        <f t="shared" si="12"/>
        <v>-6.0557541308874759E-2</v>
      </c>
      <c r="AA6" s="6" t="s">
        <v>1</v>
      </c>
      <c r="AB6" s="20">
        <f>AVERAGE(r_BN.PA)</f>
        <v>6.6784173964167162E-3</v>
      </c>
      <c r="AC6" s="20">
        <f>_xlfn.STDEV.S(r_BN.PA)</f>
        <v>5.1517749461371415E-2</v>
      </c>
      <c r="AD6" s="20">
        <f>SQRT(AC6)</f>
        <v>0.22697521772513274</v>
      </c>
      <c r="AE6" s="76" t="s">
        <v>54</v>
      </c>
      <c r="AF6" s="20">
        <f>AVERAGE(r_BN.PA)*12</f>
        <v>8.0141008757000587E-2</v>
      </c>
      <c r="AG6" s="20">
        <f>_xlfn.STDEV.S(r_BN.PA)*SQRT(12)</f>
        <v>0.17846271911739889</v>
      </c>
      <c r="AH6" s="20">
        <f>SQRT(AG6)</f>
        <v>0.42244848102153104</v>
      </c>
    </row>
    <row r="7" spans="1:39" x14ac:dyDescent="0.35">
      <c r="A7" s="3">
        <v>44044</v>
      </c>
      <c r="B7" s="61">
        <v>47.985321044921882</v>
      </c>
      <c r="C7" s="61">
        <v>28.44583702087402</v>
      </c>
      <c r="D7" s="61">
        <v>11.665998458862299</v>
      </c>
      <c r="E7" s="61">
        <v>13.354451179504389</v>
      </c>
      <c r="F7" s="61">
        <v>68.178825378417969</v>
      </c>
      <c r="G7" s="61">
        <v>25.443340301513668</v>
      </c>
      <c r="H7" s="61">
        <v>8.6222600936889648</v>
      </c>
      <c r="I7" s="61">
        <v>461.25027465820313</v>
      </c>
      <c r="J7" s="61">
        <v>20.611740112304691</v>
      </c>
      <c r="K7" s="61">
        <v>258.33572387695313</v>
      </c>
      <c r="L7" s="61">
        <v>30.27615928649902</v>
      </c>
      <c r="M7" s="61">
        <v>24.99478912353516</v>
      </c>
      <c r="N7" s="5">
        <f t="shared" si="1"/>
        <v>9.0192012673839129E-3</v>
      </c>
      <c r="O7" s="5">
        <f t="shared" si="2"/>
        <v>7.1815802878832699E-2</v>
      </c>
      <c r="P7" s="5">
        <f t="shared" si="3"/>
        <v>-2.9629867506333406E-3</v>
      </c>
      <c r="Q7" s="5">
        <f t="shared" si="4"/>
        <v>5.254392496993511E-2</v>
      </c>
      <c r="R7" s="5">
        <f t="shared" si="5"/>
        <v>7.9395657721200483E-2</v>
      </c>
      <c r="S7" s="5">
        <f t="shared" si="6"/>
        <v>0.10833329732952525</v>
      </c>
      <c r="T7" s="5">
        <f t="shared" si="7"/>
        <v>3.2329465040640194E-2</v>
      </c>
      <c r="U7" s="5">
        <f t="shared" si="8"/>
        <v>6.8188665555808339E-2</v>
      </c>
      <c r="V7" s="5">
        <f t="shared" si="9"/>
        <v>9.4801407271945151E-2</v>
      </c>
      <c r="W7" s="5">
        <f t="shared" si="10"/>
        <v>-8.6912806025461146E-3</v>
      </c>
      <c r="X7" s="5">
        <f t="shared" si="11"/>
        <v>9.0150845127473428E-2</v>
      </c>
      <c r="Y7" s="5">
        <f t="shared" si="12"/>
        <v>5.750818522775817E-2</v>
      </c>
      <c r="AA7" s="6" t="s">
        <v>2</v>
      </c>
      <c r="AB7" s="20">
        <f>AVERAGE(r_BNP.PA)</f>
        <v>2.7169876557874433E-2</v>
      </c>
      <c r="AC7" s="20">
        <f>_xlfn.STDEV.S(r_BNP.PA)</f>
        <v>0.10311544117834844</v>
      </c>
      <c r="AD7" s="20">
        <f t="shared" ref="AD7:AD16" si="13">SQRT(AC7)</f>
        <v>0.32111593105660208</v>
      </c>
      <c r="AE7" s="77"/>
      <c r="AF7" s="20">
        <f>AVERAGE(r_BNP.PA)*12</f>
        <v>0.32603851869449318</v>
      </c>
      <c r="AG7" s="20">
        <f>_xlfn.STDEV.S(r_BNP.PA)*SQRT(12)</f>
        <v>0.35720236633155894</v>
      </c>
      <c r="AH7" s="20">
        <f t="shared" ref="AH7:AH16" si="14">SQRT(AG7)</f>
        <v>0.59766409155273748</v>
      </c>
      <c r="AI7" s="19"/>
      <c r="AJ7" s="19"/>
      <c r="AK7" s="19"/>
      <c r="AL7" s="19"/>
      <c r="AM7" s="19"/>
    </row>
    <row r="8" spans="1:39" x14ac:dyDescent="0.35">
      <c r="A8" s="3">
        <v>44075</v>
      </c>
      <c r="B8" s="61">
        <v>48.089828491210938</v>
      </c>
      <c r="C8" s="61">
        <v>24.09708404541016</v>
      </c>
      <c r="D8" s="61">
        <v>11.843674659729</v>
      </c>
      <c r="E8" s="61">
        <v>12.33777332305908</v>
      </c>
      <c r="F8" s="61">
        <v>62.053302764892578</v>
      </c>
      <c r="G8" s="61">
        <v>22.665615081787109</v>
      </c>
      <c r="H8" s="61">
        <v>8.4484090805053711</v>
      </c>
      <c r="I8" s="61">
        <v>508.755615234375</v>
      </c>
      <c r="J8" s="61">
        <v>19.980012893676761</v>
      </c>
      <c r="K8" s="61">
        <v>258.98873901367188</v>
      </c>
      <c r="L8" s="61">
        <v>32.084888458251953</v>
      </c>
      <c r="M8" s="61">
        <v>22.049774169921879</v>
      </c>
      <c r="N8" s="5">
        <f t="shared" si="1"/>
        <v>2.1779044927347641E-3</v>
      </c>
      <c r="O8" s="5">
        <f t="shared" si="2"/>
        <v>-0.152878362210705</v>
      </c>
      <c r="P8" s="5">
        <f t="shared" si="3"/>
        <v>1.5230260958223071E-2</v>
      </c>
      <c r="Q8" s="5">
        <f t="shared" si="4"/>
        <v>-7.613026119752829E-2</v>
      </c>
      <c r="R8" s="5">
        <f t="shared" si="5"/>
        <v>-8.9844942026009539E-2</v>
      </c>
      <c r="S8" s="5">
        <f t="shared" si="6"/>
        <v>-0.10917297755756178</v>
      </c>
      <c r="T8" s="5">
        <f t="shared" si="7"/>
        <v>-2.0163044409996798E-2</v>
      </c>
      <c r="U8" s="5">
        <f t="shared" si="8"/>
        <v>0.10299254696677287</v>
      </c>
      <c r="V8" s="5">
        <f t="shared" si="9"/>
        <v>-3.0648902770261711E-2</v>
      </c>
      <c r="W8" s="5">
        <f t="shared" si="10"/>
        <v>2.5277771378989966E-3</v>
      </c>
      <c r="X8" s="5">
        <f t="shared" si="11"/>
        <v>5.9741037647384018E-2</v>
      </c>
      <c r="Y8" s="5">
        <f t="shared" si="12"/>
        <v>-0.11782515703804228</v>
      </c>
      <c r="AA8" s="6" t="s">
        <v>3</v>
      </c>
      <c r="AB8" s="20">
        <f>AVERAGE(r_CA.PA)</f>
        <v>3.5326067048986939E-3</v>
      </c>
      <c r="AC8" s="20">
        <f>_xlfn.STDEV.S(r_CA.PA)</f>
        <v>5.7286772438302748E-2</v>
      </c>
      <c r="AD8" s="20">
        <f t="shared" si="13"/>
        <v>0.23934655301111554</v>
      </c>
      <c r="AE8" s="77"/>
      <c r="AF8" s="20">
        <f>AVERAGE(r_CA.PA)*12</f>
        <v>4.2391280458784326E-2</v>
      </c>
      <c r="AG8" s="20">
        <f>_xlfn.STDEV.S(r_CA.PA)*SQRT(12)</f>
        <v>0.19844720092955354</v>
      </c>
      <c r="AH8" s="20">
        <f t="shared" si="14"/>
        <v>0.4454741304829648</v>
      </c>
    </row>
    <row r="9" spans="1:39" x14ac:dyDescent="0.35">
      <c r="A9" s="3">
        <v>44105</v>
      </c>
      <c r="B9" s="61">
        <v>41.279575347900391</v>
      </c>
      <c r="C9" s="61">
        <v>23.225776672363281</v>
      </c>
      <c r="D9" s="61">
        <v>11.579325675964361</v>
      </c>
      <c r="E9" s="61">
        <v>10.792423248291019</v>
      </c>
      <c r="F9" s="61">
        <v>58.843055725097663</v>
      </c>
      <c r="G9" s="61">
        <v>22.685104370117191</v>
      </c>
      <c r="H9" s="61">
        <v>7.6827259063720703</v>
      </c>
      <c r="I9" s="61">
        <v>464.74600219726563</v>
      </c>
      <c r="J9" s="61">
        <v>20.180423736572269</v>
      </c>
      <c r="K9" s="61">
        <v>259.08206176757813</v>
      </c>
      <c r="L9" s="61">
        <v>29.848478317260739</v>
      </c>
      <c r="M9" s="61">
        <v>19.951112747192379</v>
      </c>
      <c r="N9" s="5">
        <f t="shared" si="1"/>
        <v>-0.14161525122833848</v>
      </c>
      <c r="O9" s="5">
        <f t="shared" si="2"/>
        <v>-3.6158207831492331E-2</v>
      </c>
      <c r="P9" s="5">
        <f t="shared" si="3"/>
        <v>-2.2319845095330255E-2</v>
      </c>
      <c r="Q9" s="5">
        <f t="shared" si="4"/>
        <v>-0.12525356353239439</v>
      </c>
      <c r="R9" s="5">
        <f t="shared" si="5"/>
        <v>-5.1733701459177633E-2</v>
      </c>
      <c r="S9" s="5">
        <f t="shared" si="6"/>
        <v>8.5986143591321466E-4</v>
      </c>
      <c r="T9" s="5">
        <f t="shared" si="7"/>
        <v>-9.0630456792167871E-2</v>
      </c>
      <c r="U9" s="5">
        <f t="shared" si="8"/>
        <v>-8.6504427114450416E-2</v>
      </c>
      <c r="V9" s="5">
        <f t="shared" si="9"/>
        <v>1.0030566244475922E-2</v>
      </c>
      <c r="W9" s="5">
        <f t="shared" si="10"/>
        <v>3.6033518006095062E-4</v>
      </c>
      <c r="X9" s="5">
        <f t="shared" si="11"/>
        <v>-6.970291150929743E-2</v>
      </c>
      <c r="Y9" s="5">
        <f t="shared" si="12"/>
        <v>-9.5178363576724781E-2</v>
      </c>
      <c r="AA9" s="6" t="s">
        <v>4</v>
      </c>
      <c r="AB9" s="20">
        <f>AVERAGE(r_CS.PA)</f>
        <v>2.258782594850935E-2</v>
      </c>
      <c r="AC9" s="20">
        <f>_xlfn.STDEV.S(r_CS.PA)</f>
        <v>8.3488136103445895E-2</v>
      </c>
      <c r="AD9" s="20">
        <f t="shared" si="13"/>
        <v>0.2889431364532577</v>
      </c>
      <c r="AE9" s="77"/>
      <c r="AF9" s="20">
        <f>AVERAGE(r_CS.PA)*12</f>
        <v>0.27105391138211221</v>
      </c>
      <c r="AG9" s="20">
        <f>_xlfn.STDEV.S(r_CS.PA)*SQRT(12)</f>
        <v>0.28921138712078759</v>
      </c>
      <c r="AH9" s="20">
        <f t="shared" si="14"/>
        <v>0.53778377357520524</v>
      </c>
    </row>
    <row r="10" spans="1:39" x14ac:dyDescent="0.35">
      <c r="A10" s="3">
        <v>44136</v>
      </c>
      <c r="B10" s="61">
        <v>46.905441284179688</v>
      </c>
      <c r="C10" s="61">
        <v>33.424739837646477</v>
      </c>
      <c r="D10" s="61">
        <v>11.90001201629639</v>
      </c>
      <c r="E10" s="61">
        <v>15.41596031188965</v>
      </c>
      <c r="F10" s="61">
        <v>74.182846069335938</v>
      </c>
      <c r="G10" s="61">
        <v>26.899778366088871</v>
      </c>
      <c r="H10" s="61">
        <v>9.151209831237793</v>
      </c>
      <c r="I10" s="61">
        <v>542.2784423828125</v>
      </c>
      <c r="J10" s="61">
        <v>22.753080368041989</v>
      </c>
      <c r="K10" s="61">
        <v>286.23104858398438</v>
      </c>
      <c r="L10" s="61">
        <v>35.479595184326172</v>
      </c>
      <c r="M10" s="61">
        <v>27.681972503662109</v>
      </c>
      <c r="N10" s="5">
        <f t="shared" si="1"/>
        <v>0.13628691402140225</v>
      </c>
      <c r="O10" s="5">
        <f t="shared" si="2"/>
        <v>0.43912258819827127</v>
      </c>
      <c r="P10" s="5">
        <f t="shared" si="3"/>
        <v>2.7694733640464927E-2</v>
      </c>
      <c r="Q10" s="5">
        <f t="shared" si="4"/>
        <v>0.42840583224261231</v>
      </c>
      <c r="R10" s="5">
        <f t="shared" si="5"/>
        <v>0.26068990053648022</v>
      </c>
      <c r="S10" s="5">
        <f t="shared" si="6"/>
        <v>0.18579037271363044</v>
      </c>
      <c r="T10" s="5">
        <f t="shared" si="7"/>
        <v>0.19114100161347145</v>
      </c>
      <c r="U10" s="5">
        <f t="shared" si="8"/>
        <v>0.16682755702896296</v>
      </c>
      <c r="V10" s="5">
        <f t="shared" si="9"/>
        <v>0.12748278554762876</v>
      </c>
      <c r="W10" s="5">
        <f t="shared" si="10"/>
        <v>0.10478914144492774</v>
      </c>
      <c r="X10" s="5">
        <f t="shared" si="11"/>
        <v>0.18865674850195222</v>
      </c>
      <c r="Y10" s="5">
        <f t="shared" si="12"/>
        <v>0.38749015428012434</v>
      </c>
      <c r="AA10" s="6" t="s">
        <v>5</v>
      </c>
      <c r="AB10" s="20">
        <f>AVERAGE(r_DG.PA)</f>
        <v>1.1391683983956097E-2</v>
      </c>
      <c r="AC10" s="20">
        <f>_xlfn.STDEV.S(r_DG.PA)</f>
        <v>6.7584963717156027E-2</v>
      </c>
      <c r="AD10" s="20">
        <f t="shared" si="13"/>
        <v>0.25997108246333095</v>
      </c>
      <c r="AE10" s="77"/>
      <c r="AF10" s="20">
        <f>AVERAGE(r_DG.PA)*12</f>
        <v>0.13670020780747316</v>
      </c>
      <c r="AG10" s="20">
        <f>_xlfn.STDEV.S(r_DG.PA)*SQRT(12)</f>
        <v>0.23412118197162674</v>
      </c>
      <c r="AH10" s="20">
        <f t="shared" si="14"/>
        <v>0.48386070513281687</v>
      </c>
    </row>
    <row r="11" spans="1:39" x14ac:dyDescent="0.35">
      <c r="A11" s="3">
        <v>44166</v>
      </c>
      <c r="B11" s="61">
        <v>46.818351745605469</v>
      </c>
      <c r="C11" s="61">
        <v>33.533645629882813</v>
      </c>
      <c r="D11" s="61">
        <v>12.160026550292971</v>
      </c>
      <c r="E11" s="61">
        <v>15.259547233581539</v>
      </c>
      <c r="F11" s="61">
        <v>70.590850830078125</v>
      </c>
      <c r="G11" s="61">
        <v>27.117364883422852</v>
      </c>
      <c r="H11" s="61">
        <v>9.2621793746948242</v>
      </c>
      <c r="I11" s="61">
        <v>532.77728271484375</v>
      </c>
      <c r="J11" s="61">
        <v>22.861997604370121</v>
      </c>
      <c r="K11" s="61">
        <v>289.962890625</v>
      </c>
      <c r="L11" s="61">
        <v>33.412479400634773</v>
      </c>
      <c r="M11" s="61">
        <v>27.276304244995121</v>
      </c>
      <c r="N11" s="5">
        <f t="shared" si="1"/>
        <v>-1.8567043863116238E-3</v>
      </c>
      <c r="O11" s="5">
        <f t="shared" si="2"/>
        <v>3.2582390398645379E-3</v>
      </c>
      <c r="P11" s="5">
        <f t="shared" si="3"/>
        <v>2.1849938776574773E-2</v>
      </c>
      <c r="Q11" s="5">
        <f t="shared" si="4"/>
        <v>-1.0146178061153692E-2</v>
      </c>
      <c r="R11" s="5">
        <f t="shared" si="5"/>
        <v>-4.8420833515884637E-2</v>
      </c>
      <c r="S11" s="5">
        <f t="shared" si="6"/>
        <v>8.0887847614492109E-3</v>
      </c>
      <c r="T11" s="5">
        <f t="shared" si="7"/>
        <v>1.2126215604655358E-2</v>
      </c>
      <c r="U11" s="5">
        <f t="shared" si="8"/>
        <v>-1.7520813894463399E-2</v>
      </c>
      <c r="V11" s="5">
        <f t="shared" si="9"/>
        <v>4.7869226744837873E-3</v>
      </c>
      <c r="W11" s="5">
        <f t="shared" si="10"/>
        <v>1.3037865945981216E-2</v>
      </c>
      <c r="X11" s="5">
        <f t="shared" si="11"/>
        <v>-5.8262101722191838E-2</v>
      </c>
      <c r="Y11" s="5">
        <f t="shared" si="12"/>
        <v>-1.4654600881975512E-2</v>
      </c>
      <c r="AA11" s="6" t="s">
        <v>6</v>
      </c>
      <c r="AB11" s="20">
        <f>AVERAGE(r_EN.PA)</f>
        <v>9.7305130490552907E-3</v>
      </c>
      <c r="AC11" s="20">
        <f>_xlfn.STDEV.S(r_EN.PA)</f>
        <v>6.4645228510169711E-2</v>
      </c>
      <c r="AD11" s="20">
        <f t="shared" si="13"/>
        <v>0.25425425957133879</v>
      </c>
      <c r="AE11" s="77"/>
      <c r="AF11" s="20">
        <f>AVERAGE(r_EN.PA)*12</f>
        <v>0.11676615658866349</v>
      </c>
      <c r="AG11" s="20">
        <f>_xlfn.STDEV.S(r_EN.PA)*SQRT(12)</f>
        <v>0.22393764049302811</v>
      </c>
      <c r="AH11" s="20">
        <f t="shared" si="14"/>
        <v>0.47322049880898875</v>
      </c>
    </row>
    <row r="12" spans="1:39" x14ac:dyDescent="0.35">
      <c r="A12" s="3">
        <v>44197</v>
      </c>
      <c r="B12" s="61">
        <v>47.8634033203125</v>
      </c>
      <c r="C12" s="61">
        <v>30.946958541870121</v>
      </c>
      <c r="D12" s="61">
        <v>12.125357627868651</v>
      </c>
      <c r="E12" s="61">
        <v>14.311692237854</v>
      </c>
      <c r="F12" s="61">
        <v>66.443550109863281</v>
      </c>
      <c r="G12" s="61">
        <v>26.12614822387695</v>
      </c>
      <c r="H12" s="61">
        <v>9.4841165542602539</v>
      </c>
      <c r="I12" s="61">
        <v>485.451171875</v>
      </c>
      <c r="J12" s="61">
        <v>24.811639785766602</v>
      </c>
      <c r="K12" s="61">
        <v>270.6507568359375</v>
      </c>
      <c r="L12" s="61">
        <v>36.602256774902337</v>
      </c>
      <c r="M12" s="61">
        <v>26.963369369506839</v>
      </c>
      <c r="N12" s="5">
        <f t="shared" si="1"/>
        <v>2.2321408929247992E-2</v>
      </c>
      <c r="O12" s="5">
        <f t="shared" si="2"/>
        <v>-7.7137067545904381E-2</v>
      </c>
      <c r="P12" s="5">
        <f t="shared" si="3"/>
        <v>-2.8510564743367836E-3</v>
      </c>
      <c r="Q12" s="5">
        <f t="shared" si="4"/>
        <v>-6.2115538634174128E-2</v>
      </c>
      <c r="R12" s="5">
        <f t="shared" si="5"/>
        <v>-5.8751249934612157E-2</v>
      </c>
      <c r="S12" s="5">
        <f t="shared" si="6"/>
        <v>-3.6552838515361931E-2</v>
      </c>
      <c r="T12" s="5">
        <f t="shared" si="7"/>
        <v>2.3961658545696457E-2</v>
      </c>
      <c r="U12" s="5">
        <f t="shared" si="8"/>
        <v>-8.8829070561504991E-2</v>
      </c>
      <c r="V12" s="5">
        <f t="shared" si="9"/>
        <v>8.5278732643371574E-2</v>
      </c>
      <c r="W12" s="5">
        <f t="shared" si="10"/>
        <v>-6.6602087416897368E-2</v>
      </c>
      <c r="X12" s="5">
        <f t="shared" si="11"/>
        <v>9.546664693811871E-2</v>
      </c>
      <c r="Y12" s="5">
        <f t="shared" si="12"/>
        <v>-1.1472774048768029E-2</v>
      </c>
      <c r="AA12" s="6" t="s">
        <v>7</v>
      </c>
      <c r="AB12" s="20">
        <f>AVERAGE(r_ENGI.PA)</f>
        <v>1.5924574951948219E-2</v>
      </c>
      <c r="AC12" s="20">
        <f>_xlfn.STDEV.S(r_ENGI.PA)</f>
        <v>6.5586203476900834E-2</v>
      </c>
      <c r="AD12" s="20">
        <f t="shared" si="13"/>
        <v>0.25609803489464894</v>
      </c>
      <c r="AE12" s="77"/>
      <c r="AF12" s="20">
        <f>AVERAGE(r_ENGI.PA)*12</f>
        <v>0.19109489942337862</v>
      </c>
      <c r="AG12" s="20">
        <f>_xlfn.STDEV.S(r_ENGI.PA)*SQRT(12)</f>
        <v>0.22719727339508558</v>
      </c>
      <c r="AH12" s="20">
        <f t="shared" si="14"/>
        <v>0.47665215135891875</v>
      </c>
      <c r="AI12" s="19"/>
      <c r="AJ12" s="19"/>
      <c r="AK12" s="19"/>
      <c r="AL12" s="19"/>
      <c r="AM12" s="19"/>
    </row>
    <row r="13" spans="1:39" x14ac:dyDescent="0.35">
      <c r="A13" s="3">
        <v>44228</v>
      </c>
      <c r="B13" s="61">
        <v>49.169719696044922</v>
      </c>
      <c r="C13" s="61">
        <v>38.3336181640625</v>
      </c>
      <c r="D13" s="61">
        <v>12.51971340179443</v>
      </c>
      <c r="E13" s="61">
        <v>16.266839981079102</v>
      </c>
      <c r="F13" s="61">
        <v>74.651382446289063</v>
      </c>
      <c r="G13" s="61">
        <v>27.04483795166016</v>
      </c>
      <c r="H13" s="61">
        <v>8.9403696060180664</v>
      </c>
      <c r="I13" s="61">
        <v>472.57171630859381</v>
      </c>
      <c r="J13" s="61">
        <v>26.08598709106445</v>
      </c>
      <c r="K13" s="61">
        <v>282.499267578125</v>
      </c>
      <c r="L13" s="61">
        <v>39.578189849853523</v>
      </c>
      <c r="M13" s="61">
        <v>30.217327117919918</v>
      </c>
      <c r="N13" s="5">
        <f t="shared" si="1"/>
        <v>2.7292592776787375E-2</v>
      </c>
      <c r="O13" s="5">
        <f t="shared" si="2"/>
        <v>0.23868774090347181</v>
      </c>
      <c r="P13" s="5">
        <f t="shared" si="3"/>
        <v>3.2523228264987498E-2</v>
      </c>
      <c r="Q13" s="5">
        <f t="shared" si="4"/>
        <v>0.13661191917289792</v>
      </c>
      <c r="R13" s="5">
        <f t="shared" si="5"/>
        <v>0.12353091192228997</v>
      </c>
      <c r="S13" s="5">
        <f t="shared" si="6"/>
        <v>3.5163611563055072E-2</v>
      </c>
      <c r="T13" s="5">
        <f t="shared" si="7"/>
        <v>-5.7332377257419617E-2</v>
      </c>
      <c r="U13" s="5">
        <f t="shared" si="8"/>
        <v>-2.6530898085302297E-2</v>
      </c>
      <c r="V13" s="5">
        <f t="shared" si="9"/>
        <v>5.136086596053549E-2</v>
      </c>
      <c r="W13" s="5">
        <f t="shared" si="10"/>
        <v>4.3777859262997758E-2</v>
      </c>
      <c r="X13" s="5">
        <f t="shared" si="11"/>
        <v>8.1304633570893431E-2</v>
      </c>
      <c r="Y13" s="5">
        <f t="shared" si="12"/>
        <v>0.1206806799187721</v>
      </c>
      <c r="AA13" s="6" t="s">
        <v>8</v>
      </c>
      <c r="AB13" s="20">
        <f>AVERAGE(r_KER.PA)</f>
        <v>-3.0998303916638034E-3</v>
      </c>
      <c r="AC13" s="20">
        <f>_xlfn.STDEV.S(r_KER.PA)</f>
        <v>9.2698786168196268E-2</v>
      </c>
      <c r="AD13" s="20">
        <f t="shared" si="13"/>
        <v>0.30446475357288283</v>
      </c>
      <c r="AE13" s="77"/>
      <c r="AF13" s="20">
        <f>AVERAGE(r_KER.PA)*12</f>
        <v>-3.7197964699965641E-2</v>
      </c>
      <c r="AG13" s="20">
        <f>_xlfn.STDEV.S(r_KER.PA)*SQRT(12)</f>
        <v>0.321118014886558</v>
      </c>
      <c r="AH13" s="20">
        <f t="shared" si="14"/>
        <v>0.56667275820049612</v>
      </c>
    </row>
    <row r="14" spans="1:39" x14ac:dyDescent="0.35">
      <c r="A14" s="3">
        <v>44256</v>
      </c>
      <c r="B14" s="61">
        <v>50.946308135986328</v>
      </c>
      <c r="C14" s="61">
        <v>40.360187530517578</v>
      </c>
      <c r="D14" s="61">
        <v>13.386429786682131</v>
      </c>
      <c r="E14" s="61">
        <v>17.89743614196777</v>
      </c>
      <c r="F14" s="61">
        <v>75.796661376953125</v>
      </c>
      <c r="G14" s="61">
        <v>27.55252838134766</v>
      </c>
      <c r="H14" s="61">
        <v>8.9551658630371094</v>
      </c>
      <c r="I14" s="61">
        <v>529.92132568359375</v>
      </c>
      <c r="J14" s="61">
        <v>27.806900024414059</v>
      </c>
      <c r="K14" s="61">
        <v>304.89019775390619</v>
      </c>
      <c r="L14" s="61">
        <v>44.835086822509773</v>
      </c>
      <c r="M14" s="61">
        <v>31.319721221923832</v>
      </c>
      <c r="N14" s="5">
        <f t="shared" si="1"/>
        <v>3.613175854822516E-2</v>
      </c>
      <c r="O14" s="5">
        <f t="shared" si="2"/>
        <v>5.2866634132516424E-2</v>
      </c>
      <c r="P14" s="5">
        <f t="shared" si="3"/>
        <v>6.9228133030862796E-2</v>
      </c>
      <c r="Q14" s="5">
        <f t="shared" si="4"/>
        <v>0.10024049924787534</v>
      </c>
      <c r="R14" s="5">
        <f t="shared" si="5"/>
        <v>1.5341697543084074E-2</v>
      </c>
      <c r="S14" s="5">
        <f t="shared" si="6"/>
        <v>1.8772174956083815E-2</v>
      </c>
      <c r="T14" s="5">
        <f t="shared" si="7"/>
        <v>1.6549938840429042E-3</v>
      </c>
      <c r="U14" s="5">
        <f t="shared" si="8"/>
        <v>0.12135641511298172</v>
      </c>
      <c r="V14" s="5">
        <f t="shared" si="9"/>
        <v>6.5970780685508143E-2</v>
      </c>
      <c r="W14" s="5">
        <f t="shared" si="10"/>
        <v>7.9260135319072972E-2</v>
      </c>
      <c r="X14" s="5">
        <f t="shared" si="11"/>
        <v>0.13282307737163238</v>
      </c>
      <c r="Y14" s="5">
        <f t="shared" si="12"/>
        <v>3.648218453279925E-2</v>
      </c>
      <c r="AA14" s="6" t="s">
        <v>9</v>
      </c>
      <c r="AB14" s="20">
        <f>AVERAGE(r_ML.PA)</f>
        <v>1.331329194419094E-2</v>
      </c>
      <c r="AC14" s="20">
        <f>_xlfn.STDEV.S(r_ML.PA)</f>
        <v>6.4164017704244167E-2</v>
      </c>
      <c r="AD14" s="20">
        <f t="shared" si="13"/>
        <v>0.25330617383759946</v>
      </c>
      <c r="AE14" s="77"/>
      <c r="AF14" s="20">
        <f>AVERAGE(r_ML.PA)*12</f>
        <v>0.15975950333029129</v>
      </c>
      <c r="AG14" s="20">
        <f>_xlfn.STDEV.S(r_ML.PA)*SQRT(12)</f>
        <v>0.22227067736299969</v>
      </c>
      <c r="AH14" s="20">
        <f t="shared" si="14"/>
        <v>0.47145591242766238</v>
      </c>
    </row>
    <row r="15" spans="1:39" x14ac:dyDescent="0.35">
      <c r="A15" s="3">
        <v>44287</v>
      </c>
      <c r="B15" s="61">
        <v>51.059520721435547</v>
      </c>
      <c r="C15" s="61">
        <v>41.534893035888672</v>
      </c>
      <c r="D15" s="61">
        <v>13.958462715148929</v>
      </c>
      <c r="E15" s="61">
        <v>18.397953033447269</v>
      </c>
      <c r="F15" s="61">
        <v>79.301910400390625</v>
      </c>
      <c r="G15" s="61">
        <v>28.72103309631348</v>
      </c>
      <c r="H15" s="61">
        <v>9.151209831237793</v>
      </c>
      <c r="I15" s="61">
        <v>600.0552978515625</v>
      </c>
      <c r="J15" s="61">
        <v>26.21668815612793</v>
      </c>
      <c r="K15" s="61">
        <v>318.74462890625</v>
      </c>
      <c r="L15" s="61">
        <v>46.7774658203125</v>
      </c>
      <c r="M15" s="61">
        <v>29.482498168945309</v>
      </c>
      <c r="N15" s="5">
        <f t="shared" si="1"/>
        <v>2.2221941018185408E-3</v>
      </c>
      <c r="O15" s="5">
        <f t="shared" si="2"/>
        <v>2.9105551218830756E-2</v>
      </c>
      <c r="P15" s="5">
        <f t="shared" si="3"/>
        <v>4.2732299618521277E-2</v>
      </c>
      <c r="Q15" s="5">
        <f t="shared" si="4"/>
        <v>2.7965843124638127E-2</v>
      </c>
      <c r="R15" s="5">
        <f t="shared" si="5"/>
        <v>4.6245427697733828E-2</v>
      </c>
      <c r="S15" s="5">
        <f t="shared" si="6"/>
        <v>4.2410072091854462E-2</v>
      </c>
      <c r="T15" s="5">
        <f t="shared" si="7"/>
        <v>2.1891718277364889E-2</v>
      </c>
      <c r="U15" s="5">
        <f t="shared" si="8"/>
        <v>0.13234789537389641</v>
      </c>
      <c r="V15" s="5">
        <f t="shared" si="9"/>
        <v>-5.718767165307697E-2</v>
      </c>
      <c r="W15" s="5">
        <f t="shared" si="10"/>
        <v>4.5440723428985037E-2</v>
      </c>
      <c r="X15" s="5">
        <f t="shared" si="11"/>
        <v>4.3322744204602325E-2</v>
      </c>
      <c r="Y15" s="5">
        <f t="shared" si="12"/>
        <v>-5.8660262010648584E-2</v>
      </c>
      <c r="AA15" s="6" t="s">
        <v>10</v>
      </c>
      <c r="AB15" s="20">
        <f>AVERAGE(r_OR.PA)</f>
        <v>9.1395974106096914E-3</v>
      </c>
      <c r="AC15" s="20">
        <f>_xlfn.STDEV.S(r_OR.PA)</f>
        <v>6.1954530103227462E-2</v>
      </c>
      <c r="AD15" s="20">
        <f t="shared" si="13"/>
        <v>0.24890666946312923</v>
      </c>
      <c r="AE15" s="77"/>
      <c r="AF15" s="20">
        <f>AVERAGE(r_OR.PA)*12</f>
        <v>0.1096751689273163</v>
      </c>
      <c r="AG15" s="20">
        <f>_xlfn.STDEV.S(r_OR.PA)*SQRT(12)</f>
        <v>0.21461678779569088</v>
      </c>
      <c r="AH15" s="20">
        <f t="shared" si="14"/>
        <v>0.46326751213061645</v>
      </c>
    </row>
    <row r="16" spans="1:39" x14ac:dyDescent="0.35">
      <c r="A16" s="3">
        <v>44317</v>
      </c>
      <c r="B16" s="61">
        <v>50.772132873535163</v>
      </c>
      <c r="C16" s="61">
        <v>43.448657989501953</v>
      </c>
      <c r="D16" s="61">
        <v>14.49149227142334</v>
      </c>
      <c r="E16" s="61">
        <v>17.658908843994141</v>
      </c>
      <c r="F16" s="61">
        <v>82.447296142578125</v>
      </c>
      <c r="G16" s="61">
        <v>26.899778366088871</v>
      </c>
      <c r="H16" s="61">
        <v>8.9884557723999023</v>
      </c>
      <c r="I16" s="61">
        <v>673.700439453125</v>
      </c>
      <c r="J16" s="61">
        <v>27.403900146484379</v>
      </c>
      <c r="K16" s="61">
        <v>347.66525268554688</v>
      </c>
      <c r="L16" s="61">
        <v>48.844585418701172</v>
      </c>
      <c r="M16" s="61">
        <v>30.34715461730957</v>
      </c>
      <c r="N16" s="5">
        <f t="shared" si="1"/>
        <v>-5.6284869861642443E-3</v>
      </c>
      <c r="O16" s="5">
        <f t="shared" si="2"/>
        <v>4.6076077575538041E-2</v>
      </c>
      <c r="P16" s="5">
        <f t="shared" si="3"/>
        <v>3.8186838131961394E-2</v>
      </c>
      <c r="Q16" s="5">
        <f t="shared" si="4"/>
        <v>-4.016991390887642E-2</v>
      </c>
      <c r="R16" s="5">
        <f t="shared" si="5"/>
        <v>3.9663429623657674E-2</v>
      </c>
      <c r="S16" s="5">
        <f t="shared" si="6"/>
        <v>-6.3411880906831947E-2</v>
      </c>
      <c r="T16" s="5">
        <f t="shared" si="7"/>
        <v>-1.7784977269598518E-2</v>
      </c>
      <c r="U16" s="5">
        <f t="shared" si="8"/>
        <v>0.12273059143922486</v>
      </c>
      <c r="V16" s="5">
        <f t="shared" si="9"/>
        <v>4.5284590612142142E-2</v>
      </c>
      <c r="W16" s="5">
        <f t="shared" si="10"/>
        <v>9.0732897613164443E-2</v>
      </c>
      <c r="X16" s="5">
        <f t="shared" si="11"/>
        <v>4.4190499894311341E-2</v>
      </c>
      <c r="Y16" s="5">
        <f t="shared" si="12"/>
        <v>2.9327787740695149E-2</v>
      </c>
      <c r="AA16" s="6" t="s">
        <v>11</v>
      </c>
      <c r="AB16" s="20">
        <f>AVERAGE(r_SGO.PA)</f>
        <v>3.0572794880958369E-2</v>
      </c>
      <c r="AC16" s="20">
        <f>_xlfn.STDEV.S(r_SGO.PA)</f>
        <v>8.4974537876950654E-2</v>
      </c>
      <c r="AD16" s="20">
        <f t="shared" si="13"/>
        <v>0.29150392429082433</v>
      </c>
      <c r="AE16" s="77"/>
      <c r="AF16" s="20">
        <f>AVERAGE(r_SGO.PA)*12</f>
        <v>0.3668735385715004</v>
      </c>
      <c r="AG16" s="20">
        <f>_xlfn.STDEV.S(r_SGO.PA)*SQRT(12)</f>
        <v>0.29436043390512906</v>
      </c>
      <c r="AH16" s="20">
        <f t="shared" si="14"/>
        <v>0.54254993678474339</v>
      </c>
    </row>
    <row r="17" spans="1:39" ht="15" thickBot="1" x14ac:dyDescent="0.4">
      <c r="A17" s="3">
        <v>44348</v>
      </c>
      <c r="B17" s="61">
        <v>53.456951141357422</v>
      </c>
      <c r="C17" s="61">
        <v>41.958484649658203</v>
      </c>
      <c r="D17" s="61">
        <v>14.7915153503418</v>
      </c>
      <c r="E17" s="61">
        <v>17.776515960693359</v>
      </c>
      <c r="F17" s="61">
        <v>79.8475341796875</v>
      </c>
      <c r="G17" s="61">
        <v>26.381416320800781</v>
      </c>
      <c r="H17" s="61">
        <v>8.9066810607910156</v>
      </c>
      <c r="I17" s="61">
        <v>668.9755859375</v>
      </c>
      <c r="J17" s="61">
        <v>29.84941291809082</v>
      </c>
      <c r="K17" s="61">
        <v>354.74505615234381</v>
      </c>
      <c r="L17" s="61">
        <v>49.486106872558587</v>
      </c>
      <c r="M17" s="61">
        <v>30.547311782836911</v>
      </c>
      <c r="N17" s="5">
        <f t="shared" si="1"/>
        <v>5.2879761315320135E-2</v>
      </c>
      <c r="O17" s="5">
        <f t="shared" si="2"/>
        <v>-3.429733871651007E-2</v>
      </c>
      <c r="P17" s="5">
        <f t="shared" si="3"/>
        <v>2.0703394329519429E-2</v>
      </c>
      <c r="Q17" s="5">
        <f t="shared" si="4"/>
        <v>6.6599311281465368E-3</v>
      </c>
      <c r="R17" s="5">
        <f t="shared" si="5"/>
        <v>-3.1532410212638057E-2</v>
      </c>
      <c r="S17" s="5">
        <f t="shared" si="6"/>
        <v>-1.9270123278843112E-2</v>
      </c>
      <c r="T17" s="5">
        <f t="shared" si="7"/>
        <v>-9.097748676695442E-3</v>
      </c>
      <c r="U17" s="5">
        <f t="shared" si="8"/>
        <v>-7.0132854885182954E-3</v>
      </c>
      <c r="V17" s="5">
        <f t="shared" si="9"/>
        <v>8.9239588472233372E-2</v>
      </c>
      <c r="W17" s="5">
        <f t="shared" si="10"/>
        <v>2.0363851181873525E-2</v>
      </c>
      <c r="X17" s="5">
        <f t="shared" si="11"/>
        <v>1.3133931803458298E-2</v>
      </c>
      <c r="Y17" s="5">
        <f t="shared" si="12"/>
        <v>6.5955826189112799E-3</v>
      </c>
      <c r="AA17" s="6" t="s">
        <v>12</v>
      </c>
      <c r="AB17" s="21">
        <f>AVERAGE(r_TTE.PA)</f>
        <v>1.7257268685107741E-2</v>
      </c>
      <c r="AC17" s="22">
        <f>_xlfn.STDEV.S(r_TTE.PA)</f>
        <v>8.1593137153723572E-2</v>
      </c>
      <c r="AD17" s="22">
        <f>SQRT(AC17)</f>
        <v>0.28564512450543167</v>
      </c>
      <c r="AE17" s="78"/>
      <c r="AF17" s="22">
        <f>AVERAGE(r_TTE.PA)*12</f>
        <v>0.20708722422129289</v>
      </c>
      <c r="AG17" s="22">
        <f>_xlfn.STDEV.S(r_TTE.PA)*SQRT(12)</f>
        <v>0.28264691819837012</v>
      </c>
      <c r="AH17" s="22">
        <f>SQRT(AG17)</f>
        <v>0.53164548168715786</v>
      </c>
    </row>
    <row r="18" spans="1:39" x14ac:dyDescent="0.35">
      <c r="A18" s="3">
        <v>44378</v>
      </c>
      <c r="B18" s="61">
        <v>55.879039764404297</v>
      </c>
      <c r="C18" s="61">
        <v>40.831550598144531</v>
      </c>
      <c r="D18" s="61">
        <v>13.966544151306151</v>
      </c>
      <c r="E18" s="61">
        <v>18.18798828125</v>
      </c>
      <c r="F18" s="61">
        <v>79.155441284179688</v>
      </c>
      <c r="G18" s="61">
        <v>27.480997085571289</v>
      </c>
      <c r="H18" s="61">
        <v>8.6738777160644531</v>
      </c>
      <c r="I18" s="61">
        <v>686.4034423828125</v>
      </c>
      <c r="J18" s="61">
        <v>30.5595817565918</v>
      </c>
      <c r="K18" s="61">
        <v>364.2791748046875</v>
      </c>
      <c r="L18" s="61">
        <v>54.936847686767578</v>
      </c>
      <c r="M18" s="61">
        <v>29.874870300292969</v>
      </c>
      <c r="N18" s="5">
        <f t="shared" si="1"/>
        <v>4.5309142615374595E-2</v>
      </c>
      <c r="O18" s="5">
        <f t="shared" si="2"/>
        <v>-2.6858311517283358E-2</v>
      </c>
      <c r="P18" s="5">
        <f t="shared" si="3"/>
        <v>-5.5773271331296462E-2</v>
      </c>
      <c r="Q18" s="5">
        <f t="shared" si="4"/>
        <v>2.314696093804151E-2</v>
      </c>
      <c r="R18" s="5">
        <f t="shared" si="5"/>
        <v>-8.6676802561033214E-3</v>
      </c>
      <c r="S18" s="5">
        <f t="shared" si="6"/>
        <v>4.1680126320721024E-2</v>
      </c>
      <c r="T18" s="5">
        <f t="shared" si="7"/>
        <v>-2.6138057839682753E-2</v>
      </c>
      <c r="U18" s="5">
        <f t="shared" si="8"/>
        <v>2.6051558250648511E-2</v>
      </c>
      <c r="V18" s="5">
        <f t="shared" si="9"/>
        <v>2.3791718800290657E-2</v>
      </c>
      <c r="W18" s="5">
        <f t="shared" si="10"/>
        <v>2.6875973285584859E-2</v>
      </c>
      <c r="X18" s="5">
        <f t="shared" si="11"/>
        <v>0.1101468908889169</v>
      </c>
      <c r="Y18" s="5">
        <f t="shared" si="12"/>
        <v>-2.201311484704048E-2</v>
      </c>
    </row>
    <row r="19" spans="1:39" x14ac:dyDescent="0.35">
      <c r="A19" s="3">
        <v>44409</v>
      </c>
      <c r="B19" s="61">
        <v>55.707962036132813</v>
      </c>
      <c r="C19" s="61">
        <v>42.640995025634773</v>
      </c>
      <c r="D19" s="61">
        <v>15.027859687805179</v>
      </c>
      <c r="E19" s="61">
        <v>19.767385482788089</v>
      </c>
      <c r="F19" s="61">
        <v>80.646095275878906</v>
      </c>
      <c r="G19" s="61">
        <v>29.967731475830082</v>
      </c>
      <c r="H19" s="61">
        <v>9.3522472381591797</v>
      </c>
      <c r="I19" s="61">
        <v>611.79046630859375</v>
      </c>
      <c r="J19" s="61">
        <v>30.41533088684082</v>
      </c>
      <c r="K19" s="61">
        <v>374.09649658203119</v>
      </c>
      <c r="L19" s="61">
        <v>55.976318359375</v>
      </c>
      <c r="M19" s="61">
        <v>30.399909973144531</v>
      </c>
      <c r="N19" s="5">
        <f t="shared" si="1"/>
        <v>-3.0615724427759975E-3</v>
      </c>
      <c r="O19" s="5">
        <f t="shared" si="2"/>
        <v>4.4314859489378938E-2</v>
      </c>
      <c r="P19" s="5">
        <f t="shared" si="3"/>
        <v>7.5989845805898557E-2</v>
      </c>
      <c r="Q19" s="5">
        <f t="shared" si="4"/>
        <v>8.6837377345700753E-2</v>
      </c>
      <c r="R19" s="5">
        <f t="shared" si="5"/>
        <v>1.8831983847421827E-2</v>
      </c>
      <c r="S19" s="5">
        <f t="shared" si="6"/>
        <v>9.0489234525061524E-2</v>
      </c>
      <c r="T19" s="5">
        <f t="shared" si="7"/>
        <v>7.8208333608202993E-2</v>
      </c>
      <c r="U19" s="5">
        <f t="shared" si="8"/>
        <v>-0.10870134306903216</v>
      </c>
      <c r="V19" s="5">
        <f t="shared" si="9"/>
        <v>-4.7203155756496808E-3</v>
      </c>
      <c r="W19" s="5">
        <f t="shared" si="10"/>
        <v>2.6949994554608739E-2</v>
      </c>
      <c r="X19" s="5">
        <f t="shared" si="11"/>
        <v>1.8921192539734948E-2</v>
      </c>
      <c r="Y19" s="5">
        <f t="shared" si="12"/>
        <v>1.7574626017586883E-2</v>
      </c>
    </row>
    <row r="20" spans="1:39" x14ac:dyDescent="0.35">
      <c r="A20" s="3">
        <v>44440</v>
      </c>
      <c r="B20" s="61">
        <v>53.1688232421875</v>
      </c>
      <c r="C20" s="61">
        <v>43.998077392578118</v>
      </c>
      <c r="D20" s="61">
        <v>13.863980293273929</v>
      </c>
      <c r="E20" s="61">
        <v>20.020919799804691</v>
      </c>
      <c r="F20" s="61">
        <v>79.989501953125</v>
      </c>
      <c r="G20" s="61">
        <v>30.36527252197266</v>
      </c>
      <c r="H20" s="61">
        <v>8.7432565689086914</v>
      </c>
      <c r="I20" s="61">
        <v>559.14373779296875</v>
      </c>
      <c r="J20" s="61">
        <v>29.472133636474609</v>
      </c>
      <c r="K20" s="61">
        <v>336.85678100585938</v>
      </c>
      <c r="L20" s="61">
        <v>53.104099273681641</v>
      </c>
      <c r="M20" s="61">
        <v>33.64788818359375</v>
      </c>
      <c r="N20" s="5">
        <f t="shared" si="1"/>
        <v>-4.5579459401124719E-2</v>
      </c>
      <c r="O20" s="5">
        <f t="shared" si="2"/>
        <v>3.18257668735802E-2</v>
      </c>
      <c r="P20" s="5">
        <f t="shared" si="3"/>
        <v>-7.7448114283081571E-2</v>
      </c>
      <c r="Q20" s="5">
        <f t="shared" si="4"/>
        <v>1.2825890264413553E-2</v>
      </c>
      <c r="R20" s="5">
        <f t="shared" si="5"/>
        <v>-8.1416629101234619E-3</v>
      </c>
      <c r="S20" s="5">
        <f t="shared" si="6"/>
        <v>1.326563695564369E-2</v>
      </c>
      <c r="T20" s="5">
        <f t="shared" si="7"/>
        <v>-6.5117041256744737E-2</v>
      </c>
      <c r="U20" s="5">
        <f t="shared" si="8"/>
        <v>-8.6053528805840232E-2</v>
      </c>
      <c r="V20" s="5">
        <f t="shared" si="9"/>
        <v>-3.1010586532013853E-2</v>
      </c>
      <c r="W20" s="5">
        <f t="shared" si="10"/>
        <v>-9.9545747999289169E-2</v>
      </c>
      <c r="X20" s="5">
        <f t="shared" si="11"/>
        <v>-5.1311325393952348E-2</v>
      </c>
      <c r="Y20" s="5">
        <f t="shared" si="12"/>
        <v>0.10684170490368237</v>
      </c>
    </row>
    <row r="21" spans="1:39" x14ac:dyDescent="0.35">
      <c r="A21" s="3">
        <v>44470</v>
      </c>
      <c r="B21" s="61">
        <v>50.73773193359375</v>
      </c>
      <c r="C21" s="61">
        <v>47.246517181396477</v>
      </c>
      <c r="D21" s="61">
        <v>13.96208477020264</v>
      </c>
      <c r="E21" s="61">
        <v>20.914524078369141</v>
      </c>
      <c r="F21" s="61">
        <v>81.95928955078125</v>
      </c>
      <c r="G21" s="61">
        <v>29.60402679443359</v>
      </c>
      <c r="H21" s="61">
        <v>9.4786701202392578</v>
      </c>
      <c r="I21" s="61">
        <v>588.37176513671875</v>
      </c>
      <c r="J21" s="61">
        <v>30.115724563598629</v>
      </c>
      <c r="K21" s="61">
        <v>372.82211303710938</v>
      </c>
      <c r="L21" s="61">
        <v>54.307697296142578</v>
      </c>
      <c r="M21" s="61">
        <v>35.931056976318359</v>
      </c>
      <c r="N21" s="5">
        <f t="shared" si="1"/>
        <v>-4.5724000652035662E-2</v>
      </c>
      <c r="O21" s="5">
        <f t="shared" si="2"/>
        <v>7.3831403127772297E-2</v>
      </c>
      <c r="P21" s="5">
        <f t="shared" si="3"/>
        <v>7.0762129528059159E-3</v>
      </c>
      <c r="Q21" s="5">
        <f t="shared" si="4"/>
        <v>4.4633527705014178E-2</v>
      </c>
      <c r="R21" s="5">
        <f t="shared" si="5"/>
        <v>2.462557647640529E-2</v>
      </c>
      <c r="S21" s="5">
        <f t="shared" si="6"/>
        <v>-2.5069616186985427E-2</v>
      </c>
      <c r="T21" s="5">
        <f t="shared" si="7"/>
        <v>8.4112086330134839E-2</v>
      </c>
      <c r="U21" s="5">
        <f t="shared" si="8"/>
        <v>5.2272833205854678E-2</v>
      </c>
      <c r="V21" s="5">
        <f t="shared" si="9"/>
        <v>2.1837269573435771E-2</v>
      </c>
      <c r="W21" s="5">
        <f t="shared" si="10"/>
        <v>0.10676742775923044</v>
      </c>
      <c r="X21" s="5">
        <f t="shared" si="11"/>
        <v>2.2664879715932586E-2</v>
      </c>
      <c r="Y21" s="5">
        <f t="shared" si="12"/>
        <v>6.7854742629519654E-2</v>
      </c>
      <c r="AA21" s="73" t="s">
        <v>25</v>
      </c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  <row r="22" spans="1:39" ht="15" thickBot="1" x14ac:dyDescent="0.4">
      <c r="A22" s="3">
        <v>44501</v>
      </c>
      <c r="B22" s="61">
        <v>46.811977386474609</v>
      </c>
      <c r="C22" s="61">
        <v>44.945396423339837</v>
      </c>
      <c r="D22" s="61">
        <v>13.039009094238279</v>
      </c>
      <c r="E22" s="61">
        <v>20.241205215454102</v>
      </c>
      <c r="F22" s="61">
        <v>74.230972290039063</v>
      </c>
      <c r="G22" s="61">
        <v>25.332590103149411</v>
      </c>
      <c r="H22" s="61">
        <v>9.8748998641967773</v>
      </c>
      <c r="I22" s="61">
        <v>618.50738525390625</v>
      </c>
      <c r="J22" s="61">
        <v>28.96169471740723</v>
      </c>
      <c r="K22" s="61">
        <v>375.22927856445313</v>
      </c>
      <c r="L22" s="61">
        <v>51.225761413574219</v>
      </c>
      <c r="M22" s="61">
        <v>33.644466400146477</v>
      </c>
      <c r="N22" s="5">
        <f t="shared" si="1"/>
        <v>-7.7373473301038026E-2</v>
      </c>
      <c r="O22" s="5">
        <f t="shared" si="2"/>
        <v>-4.870455845923638E-2</v>
      </c>
      <c r="P22" s="5">
        <f t="shared" si="3"/>
        <v>-6.6113026181760084E-2</v>
      </c>
      <c r="Q22" s="5">
        <f t="shared" si="4"/>
        <v>-3.2193841006949782E-2</v>
      </c>
      <c r="R22" s="5">
        <f t="shared" si="5"/>
        <v>-9.429458580108592E-2</v>
      </c>
      <c r="S22" s="5">
        <f t="shared" si="6"/>
        <v>-0.1442856649517468</v>
      </c>
      <c r="T22" s="5">
        <f t="shared" si="7"/>
        <v>4.1802250624955607E-2</v>
      </c>
      <c r="U22" s="5">
        <f t="shared" si="8"/>
        <v>5.1218671429933332E-2</v>
      </c>
      <c r="V22" s="5">
        <f t="shared" si="9"/>
        <v>-3.8319843301605101E-2</v>
      </c>
      <c r="W22" s="5">
        <f t="shared" si="10"/>
        <v>6.4566060948861945E-3</v>
      </c>
      <c r="X22" s="5">
        <f t="shared" si="11"/>
        <v>-5.6749522369958158E-2</v>
      </c>
      <c r="Y22" s="5">
        <f t="shared" si="12"/>
        <v>-6.3638277540205429E-2</v>
      </c>
      <c r="AB22" s="8" t="s">
        <v>1</v>
      </c>
      <c r="AC22" s="8" t="s">
        <v>2</v>
      </c>
      <c r="AD22" s="8" t="s">
        <v>3</v>
      </c>
      <c r="AE22" s="8" t="s">
        <v>4</v>
      </c>
      <c r="AF22" s="8" t="s">
        <v>5</v>
      </c>
      <c r="AG22" s="8" t="s">
        <v>6</v>
      </c>
      <c r="AH22" s="8" t="s">
        <v>7</v>
      </c>
      <c r="AI22" s="8" t="s">
        <v>8</v>
      </c>
      <c r="AJ22" s="8" t="s">
        <v>9</v>
      </c>
      <c r="AK22" s="8" t="s">
        <v>10</v>
      </c>
      <c r="AL22" s="8" t="s">
        <v>11</v>
      </c>
      <c r="AM22" s="8" t="s">
        <v>12</v>
      </c>
    </row>
    <row r="23" spans="1:39" x14ac:dyDescent="0.35">
      <c r="A23" s="3">
        <v>44531</v>
      </c>
      <c r="B23" s="61">
        <v>49.153026580810547</v>
      </c>
      <c r="C23" s="61">
        <v>49.588443756103523</v>
      </c>
      <c r="D23" s="61">
        <v>14.36342239379883</v>
      </c>
      <c r="E23" s="61">
        <v>21.766569137573239</v>
      </c>
      <c r="F23" s="61">
        <v>83.00860595703125</v>
      </c>
      <c r="G23" s="61">
        <v>26.635166168212891</v>
      </c>
      <c r="H23" s="61">
        <v>10.032157897949221</v>
      </c>
      <c r="I23" s="61">
        <v>641.65374755859375</v>
      </c>
      <c r="J23" s="61">
        <v>31.991020202636719</v>
      </c>
      <c r="K23" s="61">
        <v>393.58956909179688</v>
      </c>
      <c r="L23" s="61">
        <v>56.413986206054688</v>
      </c>
      <c r="M23" s="61">
        <v>36.974941253662109</v>
      </c>
      <c r="N23" s="5">
        <f t="shared" si="1"/>
        <v>5.0009619867336284E-2</v>
      </c>
      <c r="O23" s="5">
        <f t="shared" si="2"/>
        <v>0.10330418023307462</v>
      </c>
      <c r="P23" s="5">
        <f t="shared" si="3"/>
        <v>0.1015731555970604</v>
      </c>
      <c r="Q23" s="5">
        <f t="shared" si="4"/>
        <v>7.5359342780365976E-2</v>
      </c>
      <c r="R23" s="5">
        <f t="shared" si="5"/>
        <v>0.11824759121698915</v>
      </c>
      <c r="S23" s="5">
        <f t="shared" si="6"/>
        <v>5.1418984784407838E-2</v>
      </c>
      <c r="T23" s="5">
        <f t="shared" si="7"/>
        <v>1.5925025662549795E-2</v>
      </c>
      <c r="U23" s="5">
        <f t="shared" si="8"/>
        <v>3.7422936017466601E-2</v>
      </c>
      <c r="V23" s="5">
        <f t="shared" si="9"/>
        <v>0.10459765959098841</v>
      </c>
      <c r="W23" s="5">
        <f t="shared" si="10"/>
        <v>4.8930857947935967E-2</v>
      </c>
      <c r="X23" s="5">
        <f t="shared" si="11"/>
        <v>0.10128155539930443</v>
      </c>
      <c r="Y23" s="5">
        <f t="shared" si="12"/>
        <v>9.8990271205523783E-2</v>
      </c>
      <c r="AA23" s="6" t="s">
        <v>1</v>
      </c>
      <c r="AB23" s="9">
        <f>_xlfn.COVARIANCE.S(r_BN.PA,r_BN.PA)</f>
        <v>2.6540785095646338E-3</v>
      </c>
      <c r="AC23" s="7">
        <f>_xlfn.COVARIANCE.S(r_BN.PA,r_BNP.PA)</f>
        <v>1.4856689187240954E-3</v>
      </c>
      <c r="AD23" s="7">
        <f>_xlfn.COVARIANCE.S(r_BN.PA,r_CA.PA)</f>
        <v>9.6242195064712686E-4</v>
      </c>
      <c r="AE23" s="7">
        <f t="array" ref="AE23">_xlfn.COVARIANCE.S(r_BN.PA,r_CS.PA)</f>
        <v>1.9974831793602619E-3</v>
      </c>
      <c r="AF23" s="7">
        <f t="array" ref="AF23">_xlfn.COVARIANCE.S(r_BN.PA,r_DG.PA)</f>
        <v>1.5816657056069814E-3</v>
      </c>
      <c r="AG23" s="7">
        <f t="array" ref="AG23">_xlfn.COVARIANCE.S(r_BN.PA,r_EN.PA)</f>
        <v>1.4603699017369702E-3</v>
      </c>
      <c r="AH23" s="7">
        <f t="array" ref="AH23">_xlfn.COVARIANCE.S(r_BN.PA,r_ENGI.PA)</f>
        <v>7.8248589557419139E-4</v>
      </c>
      <c r="AI23" s="7">
        <f t="array" ref="AI23">_xlfn.COVARIANCE.S(r_BN.PA,r_KER.PA)</f>
        <v>6.7824696874770995E-4</v>
      </c>
      <c r="AJ23" s="7">
        <f t="array" ref="AJ23">_xlfn.COVARIANCE.S(r_BN.PA,r_ML.PA)</f>
        <v>9.8826450180782596E-4</v>
      </c>
      <c r="AK23" s="7">
        <f t="array" ref="AK23">_xlfn.COVARIANCE.S(r_BN.PA,r_OR.PA)</f>
        <v>8.9934886182130693E-4</v>
      </c>
      <c r="AL23" s="7">
        <f t="array" ref="AL23">_xlfn.COVARIANCE.S(r_BN.PA,r_SGO.PA)</f>
        <v>1.5240945955596085E-3</v>
      </c>
      <c r="AM23" s="7">
        <f t="array" ref="AM23">_xlfn.COVARIANCE.S(r_BN.PA,r_TTE.PA)</f>
        <v>1.2891974556949368E-3</v>
      </c>
    </row>
    <row r="24" spans="1:39" x14ac:dyDescent="0.35">
      <c r="A24" s="3">
        <v>44562</v>
      </c>
      <c r="B24" s="61">
        <v>49.747291564941413</v>
      </c>
      <c r="C24" s="61">
        <v>51.408126831054688</v>
      </c>
      <c r="D24" s="61">
        <v>15.09028911590576</v>
      </c>
      <c r="E24" s="61">
        <v>23.237899780273441</v>
      </c>
      <c r="F24" s="61">
        <v>86.358970642089844</v>
      </c>
      <c r="G24" s="61">
        <v>26.381416320800781</v>
      </c>
      <c r="H24" s="61">
        <v>10.44843006134033</v>
      </c>
      <c r="I24" s="61">
        <v>595.72412109375</v>
      </c>
      <c r="J24" s="61">
        <v>32.77886962890625</v>
      </c>
      <c r="K24" s="61">
        <v>355.73623657226563</v>
      </c>
      <c r="L24" s="61">
        <v>54.389759063720703</v>
      </c>
      <c r="M24" s="61">
        <v>41.606121063232422</v>
      </c>
      <c r="N24" s="5">
        <f t="shared" si="1"/>
        <v>1.2090099541558421E-2</v>
      </c>
      <c r="O24" s="5">
        <f t="shared" si="2"/>
        <v>3.6695708457823738E-2</v>
      </c>
      <c r="P24" s="5">
        <f t="shared" si="3"/>
        <v>5.0605399060097457E-2</v>
      </c>
      <c r="Q24" s="5">
        <f t="shared" si="4"/>
        <v>6.759589135985633E-2</v>
      </c>
      <c r="R24" s="5">
        <f t="shared" si="5"/>
        <v>4.0361654631242493E-2</v>
      </c>
      <c r="S24" s="5">
        <f t="shared" si="6"/>
        <v>-9.5268730748502388E-3</v>
      </c>
      <c r="T24" s="5">
        <f t="shared" si="7"/>
        <v>4.1493781061420924E-2</v>
      </c>
      <c r="U24" s="5">
        <f t="shared" si="8"/>
        <v>-7.158007981656743E-2</v>
      </c>
      <c r="V24" s="5">
        <f t="shared" si="9"/>
        <v>2.4627205424495847E-2</v>
      </c>
      <c r="W24" s="5">
        <f t="shared" si="10"/>
        <v>-9.617463340524332E-2</v>
      </c>
      <c r="X24" s="5">
        <f t="shared" si="11"/>
        <v>-3.588165415116034E-2</v>
      </c>
      <c r="Y24" s="5">
        <f t="shared" si="12"/>
        <v>0.12525185037614162</v>
      </c>
      <c r="AA24" s="6" t="s">
        <v>2</v>
      </c>
      <c r="AB24" s="9">
        <f>_xlfn.COVARIANCE.S(r_BN.PA,r_BNP.PA)</f>
        <v>1.4856689187240954E-3</v>
      </c>
      <c r="AC24" s="9">
        <f>_xlfn.COVARIANCE.S(r_BNP.PA,r_BNP.PA)</f>
        <v>1.063279420940544E-2</v>
      </c>
      <c r="AD24" s="7">
        <f>_xlfn.COVARIANCE.S(r_BNP.PA,r_CA.PA)</f>
        <v>1.7100041426047501E-3</v>
      </c>
      <c r="AE24" s="7">
        <f>_xlfn.COVARIANCE.S(r_BNP.PA,r_CS.PA)</f>
        <v>6.8488177387476569E-3</v>
      </c>
      <c r="AF24" s="7">
        <f>_xlfn.COVARIANCE.S(r_BNP.PA,r_DG.PA)</f>
        <v>4.8937075705145468E-3</v>
      </c>
      <c r="AG24" s="7">
        <f>_xlfn.COVARIANCE.S(r_BNP.PA,r_EN.PA)</f>
        <v>3.912367091738379E-3</v>
      </c>
      <c r="AH24" s="7">
        <f>_xlfn.COVARIANCE.S(r_BNP.PA,r_ENGI.PA)</f>
        <v>2.4561620133825152E-3</v>
      </c>
      <c r="AI24" s="7">
        <f>_xlfn.COVARIANCE.S(r_BNP.PA,r_KER.PA)</f>
        <v>2.5786093471474513E-3</v>
      </c>
      <c r="AJ24" s="7">
        <f>_xlfn.COVARIANCE.S(r_BNP.PA,r_ML.PA)</f>
        <v>3.4727992677922371E-3</v>
      </c>
      <c r="AK24" s="7">
        <f>_xlfn.COVARIANCE.S(r_BNP.PA,r_OR.PA)</f>
        <v>2.5874633990755356E-3</v>
      </c>
      <c r="AL24" s="7">
        <f>_xlfn.COVARIANCE.S(r_BNP.PA,r_SGO.PA)</f>
        <v>4.7229615350869465E-3</v>
      </c>
      <c r="AM24" s="7">
        <f>_xlfn.COVARIANCE.S(r_BNP.PA,r_TTE.PA)</f>
        <v>6.0361892108364229E-3</v>
      </c>
    </row>
    <row r="25" spans="1:39" x14ac:dyDescent="0.35">
      <c r="A25" s="3">
        <v>44593</v>
      </c>
      <c r="B25" s="61">
        <v>48.900913238525391</v>
      </c>
      <c r="C25" s="61">
        <v>42.8482666015625</v>
      </c>
      <c r="D25" s="61">
        <v>15.96431350708008</v>
      </c>
      <c r="E25" s="61">
        <v>20.178859710693359</v>
      </c>
      <c r="F25" s="61">
        <v>84.447021484375</v>
      </c>
      <c r="G25" s="61">
        <v>27.083456039428711</v>
      </c>
      <c r="H25" s="61">
        <v>10.99883460998535</v>
      </c>
      <c r="I25" s="61">
        <v>581.140625</v>
      </c>
      <c r="J25" s="61">
        <v>27.519159317016602</v>
      </c>
      <c r="K25" s="61">
        <v>335.11041259765619</v>
      </c>
      <c r="L25" s="61">
        <v>51.016044616699219</v>
      </c>
      <c r="M25" s="61">
        <v>38.337211608886719</v>
      </c>
      <c r="N25" s="5">
        <f t="shared" si="1"/>
        <v>-1.70135559100969E-2</v>
      </c>
      <c r="O25" s="5">
        <f t="shared" si="2"/>
        <v>-0.16650791921718758</v>
      </c>
      <c r="P25" s="5">
        <f t="shared" si="3"/>
        <v>5.7919658428085635E-2</v>
      </c>
      <c r="Q25" s="5">
        <f t="shared" si="4"/>
        <v>-0.13164012662525071</v>
      </c>
      <c r="R25" s="5">
        <f t="shared" si="5"/>
        <v>-2.2139554738775376E-2</v>
      </c>
      <c r="S25" s="5">
        <f t="shared" si="6"/>
        <v>2.661114589493806E-2</v>
      </c>
      <c r="T25" s="5">
        <f t="shared" si="7"/>
        <v>5.2678205760455975E-2</v>
      </c>
      <c r="U25" s="5">
        <f t="shared" si="8"/>
        <v>-2.448028471127657E-2</v>
      </c>
      <c r="V25" s="5">
        <f t="shared" si="9"/>
        <v>-0.16046039327882558</v>
      </c>
      <c r="W25" s="5">
        <f t="shared" si="10"/>
        <v>-5.7980666162524667E-2</v>
      </c>
      <c r="X25" s="5">
        <f t="shared" si="11"/>
        <v>-6.2028486705907E-2</v>
      </c>
      <c r="Y25" s="5">
        <f t="shared" si="12"/>
        <v>-7.8567993622324431E-2</v>
      </c>
      <c r="AA25" s="6" t="s">
        <v>3</v>
      </c>
      <c r="AB25" s="9">
        <f>_xlfn.COVARIANCE.S(r_BN.PA,r_CA.PA)</f>
        <v>9.6242195064712686E-4</v>
      </c>
      <c r="AC25" s="9">
        <f>_xlfn.COVARIANCE.S(r_BNP.PA,r_CA.PA)</f>
        <v>1.7100041426047501E-3</v>
      </c>
      <c r="AD25" s="9">
        <f>_xlfn.COVARIANCE.S(r_CA.PA,r_CA.PA)</f>
        <v>3.2817742963978836E-3</v>
      </c>
      <c r="AE25" s="7">
        <f>_xlfn.COVARIANCE.S(r_CA.PA,r_CS.PA)</f>
        <v>1.74189736700312E-3</v>
      </c>
      <c r="AF25" s="7">
        <f>_xlfn.COVARIANCE.S(r_CA.PA,r_DG.PA)</f>
        <v>1.8282819454405238E-3</v>
      </c>
      <c r="AG25" s="7">
        <f>_xlfn.COVARIANCE.S(r_CA.PA,r_EN.PA)</f>
        <v>1.5114057817238924E-3</v>
      </c>
      <c r="AH25" s="7">
        <f>_xlfn.COVARIANCE.S(r_CA.PA,r_ENGI.PA)</f>
        <v>7.4409201397707581E-4</v>
      </c>
      <c r="AI25" s="7">
        <f>_xlfn.COVARIANCE.S(r_CA.PA,r_KER.PA)</f>
        <v>1.1529168347962468E-3</v>
      </c>
      <c r="AJ25" s="7">
        <f>_xlfn.COVARIANCE.S(r_CA.PA,r_ML.PA)</f>
        <v>1.4086100481433643E-3</v>
      </c>
      <c r="AK25" s="7">
        <f>_xlfn.COVARIANCE.S(r_CA.PA,r_OR.PA)</f>
        <v>9.8430171331587353E-4</v>
      </c>
      <c r="AL25" s="7">
        <f>_xlfn.COVARIANCE.S(r_CA.PA,r_SGO.PA)</f>
        <v>2.2217546727433895E-3</v>
      </c>
      <c r="AM25" s="7">
        <f>_xlfn.COVARIANCE.S(r_CA.PA,r_TTE.PA)</f>
        <v>1.3533643346042021E-3</v>
      </c>
    </row>
    <row r="26" spans="1:39" x14ac:dyDescent="0.35">
      <c r="A26" s="3">
        <v>44621</v>
      </c>
      <c r="B26" s="61">
        <v>45.047183990478523</v>
      </c>
      <c r="C26" s="61">
        <v>42.374988555908203</v>
      </c>
      <c r="D26" s="61">
        <v>17.520610809326168</v>
      </c>
      <c r="E26" s="61">
        <v>22.082448959350589</v>
      </c>
      <c r="F26" s="61">
        <v>83.080070495605469</v>
      </c>
      <c r="G26" s="61">
        <v>26.753580093383789</v>
      </c>
      <c r="H26" s="61">
        <v>9.1996135711669922</v>
      </c>
      <c r="I26" s="61">
        <v>525.13360595703125</v>
      </c>
      <c r="J26" s="61">
        <v>27.286134719848629</v>
      </c>
      <c r="K26" s="61">
        <v>343.464599609375</v>
      </c>
      <c r="L26" s="61">
        <v>49.484199523925781</v>
      </c>
      <c r="M26" s="61">
        <v>38.707218170166023</v>
      </c>
      <c r="N26" s="5">
        <f t="shared" si="1"/>
        <v>-7.8806897311905447E-2</v>
      </c>
      <c r="O26" s="5">
        <f t="shared" si="2"/>
        <v>-1.1045442049154875E-2</v>
      </c>
      <c r="P26" s="5">
        <f t="shared" si="3"/>
        <v>9.7486014763859388E-2</v>
      </c>
      <c r="Q26" s="5">
        <f t="shared" si="4"/>
        <v>9.4335818571971305E-2</v>
      </c>
      <c r="R26" s="5">
        <f t="shared" si="5"/>
        <v>-1.6187083508000983E-2</v>
      </c>
      <c r="S26" s="5">
        <f t="shared" si="6"/>
        <v>-1.2179979747218411E-2</v>
      </c>
      <c r="T26" s="5">
        <f t="shared" si="7"/>
        <v>-0.16358287969753862</v>
      </c>
      <c r="U26" s="5">
        <f t="shared" si="8"/>
        <v>-9.6374296742666635E-2</v>
      </c>
      <c r="V26" s="5">
        <f t="shared" si="9"/>
        <v>-8.4677222324840585E-3</v>
      </c>
      <c r="W26" s="5">
        <f t="shared" si="10"/>
        <v>2.4929655115638258E-2</v>
      </c>
      <c r="X26" s="5">
        <f t="shared" si="11"/>
        <v>-3.002673186999712E-2</v>
      </c>
      <c r="Y26" s="5">
        <f t="shared" si="12"/>
        <v>9.6513686246689628E-3</v>
      </c>
      <c r="AA26" s="6" t="s">
        <v>4</v>
      </c>
      <c r="AB26" s="9">
        <f t="array" ref="AB26">_xlfn.COVARIANCE.S(r_BN.PA,r_CS.PA)</f>
        <v>1.9974831793602619E-3</v>
      </c>
      <c r="AC26" s="9">
        <f>_xlfn.COVARIANCE.S(r_BNP.PA,r_CS.PA)</f>
        <v>6.8488177387476569E-3</v>
      </c>
      <c r="AD26" s="9">
        <f>_xlfn.COVARIANCE.S(r_CA.PA,r_CS.PA)</f>
        <v>1.74189736700312E-3</v>
      </c>
      <c r="AE26" s="9">
        <f>_xlfn.COVARIANCE.S(r_CS.PA,r_CS.PA)</f>
        <v>6.9702688700275014E-3</v>
      </c>
      <c r="AF26" s="7">
        <f>_xlfn.COVARIANCE.S(r_CS.PA,r_DG.PA)</f>
        <v>4.2539661870758258E-3</v>
      </c>
      <c r="AG26" s="7">
        <f>_xlfn.COVARIANCE.S(r_CS.PA,r_EN.PA)</f>
        <v>3.7683670488866733E-3</v>
      </c>
      <c r="AH26" s="7">
        <f>_xlfn.COVARIANCE.S(r_CS.PA,r_ENGI.PA)</f>
        <v>1.4903404268878707E-3</v>
      </c>
      <c r="AI26" s="7">
        <f>_xlfn.COVARIANCE.S(r_CS.PA,r_KER.PA)</f>
        <v>2.3760742024569025E-3</v>
      </c>
      <c r="AJ26" s="7">
        <f>_xlfn.COVARIANCE.S(r_CS.PA,r_ML.PA)</f>
        <v>2.6892393977832282E-3</v>
      </c>
      <c r="AK26" s="7">
        <f>_xlfn.COVARIANCE.S(r_CS.PA,r_OR.PA)</f>
        <v>2.2424664002406013E-3</v>
      </c>
      <c r="AL26" s="7">
        <f>_xlfn.COVARIANCE.S(r_CS.PA,r_SGO.PA)</f>
        <v>3.413331438098985E-3</v>
      </c>
      <c r="AM26" s="7">
        <f>_xlfn.COVARIANCE.S(r_CS.PA,r_TTE.PA)</f>
        <v>4.5829542371310346E-3</v>
      </c>
    </row>
    <row r="27" spans="1:39" x14ac:dyDescent="0.35">
      <c r="A27" s="3">
        <v>44652</v>
      </c>
      <c r="B27" s="61">
        <v>51.899253845214837</v>
      </c>
      <c r="C27" s="61">
        <v>40.559383392333977</v>
      </c>
      <c r="D27" s="61">
        <v>17.97991943359375</v>
      </c>
      <c r="E27" s="61">
        <v>21.16390419006348</v>
      </c>
      <c r="F27" s="61">
        <v>82.946052551269531</v>
      </c>
      <c r="G27" s="61">
        <v>27.785491943359379</v>
      </c>
      <c r="H27" s="61">
        <v>8.7278385162353516</v>
      </c>
      <c r="I27" s="61">
        <v>468.03204345703119</v>
      </c>
      <c r="J27" s="61">
        <v>26.420614242553711</v>
      </c>
      <c r="K27" s="61">
        <v>329.3521728515625</v>
      </c>
      <c r="L27" s="61">
        <v>51.362537384033203</v>
      </c>
      <c r="M27" s="61">
        <v>40.293071746826172</v>
      </c>
      <c r="N27" s="5">
        <f t="shared" si="1"/>
        <v>0.15210872795477323</v>
      </c>
      <c r="O27" s="5">
        <f t="shared" si="2"/>
        <v>-4.2846151124708257E-2</v>
      </c>
      <c r="P27" s="5">
        <f t="shared" si="3"/>
        <v>2.6215331717949757E-2</v>
      </c>
      <c r="Q27" s="5">
        <f t="shared" si="4"/>
        <v>-4.1596145924664797E-2</v>
      </c>
      <c r="R27" s="5">
        <f t="shared" si="5"/>
        <v>-1.6131178456694545E-3</v>
      </c>
      <c r="S27" s="5">
        <f t="shared" si="6"/>
        <v>3.8570981766690104E-2</v>
      </c>
      <c r="T27" s="5">
        <f t="shared" si="7"/>
        <v>-5.128205128205128E-2</v>
      </c>
      <c r="U27" s="5">
        <f t="shared" si="8"/>
        <v>-0.1087372086879398</v>
      </c>
      <c r="V27" s="5">
        <f t="shared" si="9"/>
        <v>-3.1720157002131807E-2</v>
      </c>
      <c r="W27" s="5">
        <f t="shared" si="10"/>
        <v>-4.1088446302363253E-2</v>
      </c>
      <c r="X27" s="5">
        <f t="shared" si="11"/>
        <v>3.795833575521898E-2</v>
      </c>
      <c r="Y27" s="5">
        <f t="shared" si="12"/>
        <v>4.0970486943504032E-2</v>
      </c>
      <c r="AA27" s="6" t="s">
        <v>5</v>
      </c>
      <c r="AB27" s="9">
        <f t="array" ref="AB27">_xlfn.COVARIANCE.S(r_BN.PA,r_DG.PA)</f>
        <v>1.5816657056069814E-3</v>
      </c>
      <c r="AC27" s="9">
        <f>_xlfn.COVARIANCE.S(r_BNP.PA,r_DG.PA)</f>
        <v>4.8937075705145468E-3</v>
      </c>
      <c r="AD27" s="9">
        <f>_xlfn.COVARIANCE.S(r_CA.PA,r_DG.PA)</f>
        <v>1.8282819454405238E-3</v>
      </c>
      <c r="AE27" s="9">
        <f>_xlfn.COVARIANCE.S(r_CS.PA,r_DG.PA)</f>
        <v>4.2539661870758258E-3</v>
      </c>
      <c r="AF27" s="9">
        <f>_xlfn.COVARIANCE.S(r_DG.PA,r_DG.PA)</f>
        <v>4.5677273206492976E-3</v>
      </c>
      <c r="AG27" s="7">
        <f>_xlfn.COVARIANCE.S(r_DG.PA,r_EN.PA)</f>
        <v>3.1012229064431053E-3</v>
      </c>
      <c r="AH27" s="7">
        <f>_xlfn.COVARIANCE.S(r_DG.PA,r_ENGI.PA)</f>
        <v>1.6672451533104719E-3</v>
      </c>
      <c r="AI27" s="7">
        <f>_xlfn.COVARIANCE.S(r_DG.PA,r_KER.PA)</f>
        <v>1.9067646728961991E-3</v>
      </c>
      <c r="AJ27" s="7">
        <f>_xlfn.COVARIANCE.S(r_DG.PA,r_ML.PA)</f>
        <v>2.1494860716953059E-3</v>
      </c>
      <c r="AK27" s="7">
        <f>_xlfn.COVARIANCE.S(r_DG.PA,r_OR.PA)</f>
        <v>1.6977869062652158E-3</v>
      </c>
      <c r="AL27" s="7">
        <f>_xlfn.COVARIANCE.S(r_DG.PA,r_SGO.PA)</f>
        <v>3.6168094056824268E-3</v>
      </c>
      <c r="AM27" s="7">
        <f>_xlfn.COVARIANCE.S(r_DG.PA,r_TTE.PA)</f>
        <v>3.5813150548939135E-3</v>
      </c>
    </row>
    <row r="28" spans="1:39" x14ac:dyDescent="0.35">
      <c r="A28" s="3">
        <v>44682</v>
      </c>
      <c r="B28" s="61">
        <v>49.279083251953118</v>
      </c>
      <c r="C28" s="61">
        <v>43.337867736816413</v>
      </c>
      <c r="D28" s="61">
        <v>16.972116470336911</v>
      </c>
      <c r="E28" s="61">
        <v>19.54294586181641</v>
      </c>
      <c r="F28" s="61">
        <v>82.085548400878906</v>
      </c>
      <c r="G28" s="61">
        <v>27.176496505737301</v>
      </c>
      <c r="H28" s="61">
        <v>10.362087249755859</v>
      </c>
      <c r="I28" s="61">
        <v>464.93075561523438</v>
      </c>
      <c r="J28" s="61">
        <v>26.908857345581051</v>
      </c>
      <c r="K28" s="61">
        <v>314.60745239257813</v>
      </c>
      <c r="L28" s="61">
        <v>50.241001129150391</v>
      </c>
      <c r="M28" s="61">
        <v>47.430213928222663</v>
      </c>
      <c r="N28" s="5">
        <f t="shared" si="1"/>
        <v>-5.0485708350955436E-2</v>
      </c>
      <c r="O28" s="5">
        <f t="shared" si="2"/>
        <v>6.8504107116371754E-2</v>
      </c>
      <c r="P28" s="5">
        <f t="shared" si="3"/>
        <v>-5.605158393389998E-2</v>
      </c>
      <c r="Q28" s="5">
        <f t="shared" si="4"/>
        <v>-7.659070432799045E-2</v>
      </c>
      <c r="R28" s="5">
        <f t="shared" si="5"/>
        <v>-1.0374262836181883E-2</v>
      </c>
      <c r="S28" s="5">
        <f t="shared" si="6"/>
        <v>-2.1917748977182492E-2</v>
      </c>
      <c r="T28" s="5">
        <f t="shared" si="7"/>
        <v>0.18724552825771362</v>
      </c>
      <c r="U28" s="5">
        <f t="shared" si="8"/>
        <v>-6.6262297318143756E-3</v>
      </c>
      <c r="V28" s="5">
        <f t="shared" si="9"/>
        <v>1.8479627254122027E-2</v>
      </c>
      <c r="W28" s="5">
        <f t="shared" si="10"/>
        <v>-4.476885739457305E-2</v>
      </c>
      <c r="X28" s="5">
        <f t="shared" si="11"/>
        <v>-2.1835686319333952E-2</v>
      </c>
      <c r="Y28" s="5">
        <f t="shared" si="12"/>
        <v>0.17713075404728046</v>
      </c>
      <c r="AA28" s="6" t="s">
        <v>6</v>
      </c>
      <c r="AB28" s="9">
        <f t="array" ref="AB28">_xlfn.COVARIANCE.S(r_BN.PA,r_EN.PA)</f>
        <v>1.4603699017369702E-3</v>
      </c>
      <c r="AC28" s="9">
        <f>_xlfn.COVARIANCE.S(r_BNP.PA,r_EN.PA)</f>
        <v>3.912367091738379E-3</v>
      </c>
      <c r="AD28" s="9">
        <f>_xlfn.COVARIANCE.S(r_CA.PA,r_EN.PA)</f>
        <v>1.5114057817238924E-3</v>
      </c>
      <c r="AE28" s="9">
        <f>_xlfn.COVARIANCE.S(r_CS.PA,r_EN.PA)</f>
        <v>3.7683670488866733E-3</v>
      </c>
      <c r="AF28" s="9">
        <f>_xlfn.COVARIANCE.S(r_DG.PA,r_EN.PA)</f>
        <v>3.1012229064431053E-3</v>
      </c>
      <c r="AG28" s="9">
        <f>_xlfn.COVARIANCE.S(r_EN.PA,r_EN.PA)</f>
        <v>4.1790055691320596E-3</v>
      </c>
      <c r="AH28" s="7">
        <f>_xlfn.COVARIANCE.S(r_EN.PA,r_ENGI.PA)</f>
        <v>1.1714249285673358E-3</v>
      </c>
      <c r="AI28" s="7">
        <f>_xlfn.COVARIANCE.S(r_EN.PA,r_KER.PA)</f>
        <v>1.0133847352993767E-3</v>
      </c>
      <c r="AJ28" s="7">
        <f>_xlfn.COVARIANCE.S(r_EN.PA,r_ML.PA)</f>
        <v>1.8477621029949155E-3</v>
      </c>
      <c r="AK28" s="7">
        <f>_xlfn.COVARIANCE.S(r_EN.PA,r_OR.PA)</f>
        <v>1.443404729485396E-3</v>
      </c>
      <c r="AL28" s="7">
        <f>_xlfn.COVARIANCE.S(r_EN.PA,r_SGO.PA)</f>
        <v>2.6318445158480218E-3</v>
      </c>
      <c r="AM28" s="7">
        <f>_xlfn.COVARIANCE.S(r_EN.PA,r_TTE.PA)</f>
        <v>2.6077557879229181E-3</v>
      </c>
    </row>
    <row r="29" spans="1:39" x14ac:dyDescent="0.35">
      <c r="A29" s="3">
        <v>44713</v>
      </c>
      <c r="B29" s="61">
        <v>49.679931640625</v>
      </c>
      <c r="C29" s="61">
        <v>39.732879638671882</v>
      </c>
      <c r="D29" s="61">
        <v>15.059073448181151</v>
      </c>
      <c r="E29" s="61">
        <v>19.20363616943359</v>
      </c>
      <c r="F29" s="61">
        <v>77.7652587890625</v>
      </c>
      <c r="G29" s="61">
        <v>26.30202484130859</v>
      </c>
      <c r="H29" s="61">
        <v>9.0933609008789063</v>
      </c>
      <c r="I29" s="61">
        <v>454.71807861328119</v>
      </c>
      <c r="J29" s="61">
        <v>23.95097541809082</v>
      </c>
      <c r="K29" s="61">
        <v>315.32562255859381</v>
      </c>
      <c r="L29" s="61">
        <v>37.334262847900391</v>
      </c>
      <c r="M29" s="61">
        <v>42.976428985595703</v>
      </c>
      <c r="N29" s="5">
        <f t="shared" si="1"/>
        <v>8.1342501162700691E-3</v>
      </c>
      <c r="O29" s="5">
        <f t="shared" si="2"/>
        <v>-8.3183328723900718E-2</v>
      </c>
      <c r="P29" s="5">
        <f t="shared" si="3"/>
        <v>-0.11271682147004407</v>
      </c>
      <c r="Q29" s="5">
        <f t="shared" si="4"/>
        <v>-1.7362259240853398E-2</v>
      </c>
      <c r="R29" s="5">
        <f t="shared" si="5"/>
        <v>-5.26315495964957E-2</v>
      </c>
      <c r="S29" s="5">
        <f t="shared" si="6"/>
        <v>-3.2177498090826345E-2</v>
      </c>
      <c r="T29" s="5">
        <f t="shared" si="7"/>
        <v>-0.12243926520758118</v>
      </c>
      <c r="U29" s="5">
        <f t="shared" si="8"/>
        <v>-2.1966017258718308E-2</v>
      </c>
      <c r="V29" s="5">
        <f t="shared" si="9"/>
        <v>-0.1099222419407553</v>
      </c>
      <c r="W29" s="5">
        <f t="shared" si="10"/>
        <v>2.2827500129257083E-3</v>
      </c>
      <c r="X29" s="5">
        <f t="shared" si="11"/>
        <v>-0.25689651860383345</v>
      </c>
      <c r="Y29" s="5">
        <f t="shared" si="12"/>
        <v>-9.3901852295395188E-2</v>
      </c>
      <c r="AA29" s="6" t="s">
        <v>7</v>
      </c>
      <c r="AB29" s="9">
        <f t="array" ref="AB29">_xlfn.COVARIANCE.S(r_BN.PA,r_ENGI.PA)</f>
        <v>7.8248589557419139E-4</v>
      </c>
      <c r="AC29" s="9">
        <f>_xlfn.COVARIANCE.S(r_BNP.PA,r_ENGI.PA)</f>
        <v>2.4561620133825152E-3</v>
      </c>
      <c r="AD29" s="9">
        <f>_xlfn.COVARIANCE.S(r_CA.PA,r_ENGI.PA)</f>
        <v>7.4409201397707581E-4</v>
      </c>
      <c r="AE29" s="9">
        <f>_xlfn.COVARIANCE.S(r_CS.PA,r_ENGI.PA)</f>
        <v>1.4903404268878707E-3</v>
      </c>
      <c r="AF29" s="9">
        <f>_xlfn.COVARIANCE.S(r_DG.PA,r_ENGI.PA)</f>
        <v>1.6672451533104719E-3</v>
      </c>
      <c r="AG29" s="9">
        <f>_xlfn.COVARIANCE.S(r_EN.PA,r_ENGI.PA)</f>
        <v>1.1714249285673358E-3</v>
      </c>
      <c r="AH29" s="9">
        <f>_xlfn.COVARIANCE.S(r_ENGI.PA,r_ENGI.PA)</f>
        <v>4.3015500865134408E-3</v>
      </c>
      <c r="AI29" s="7">
        <f>_xlfn.COVARIANCE.S(r_ENGI.PA,r_KER.PA)</f>
        <v>1.3765347697689628E-3</v>
      </c>
      <c r="AJ29" s="7">
        <f>_xlfn.COVARIANCE.S(r_ENGI.PA,r_ML.PA)</f>
        <v>1.0788464067747806E-3</v>
      </c>
      <c r="AK29" s="7">
        <f>_xlfn.COVARIANCE.S(r_ENGI.PA,r_OR.PA)</f>
        <v>9.6638326751576488E-4</v>
      </c>
      <c r="AL29" s="7">
        <f>_xlfn.COVARIANCE.S(r_ENGI.PA,r_SGO.PA)</f>
        <v>2.03789642719084E-3</v>
      </c>
      <c r="AM29" s="7">
        <f>_xlfn.COVARIANCE.S(r_ENGI.PA,r_TTE.PA)</f>
        <v>2.3898488184972097E-3</v>
      </c>
    </row>
    <row r="30" spans="1:39" x14ac:dyDescent="0.35">
      <c r="A30" s="3">
        <v>44743</v>
      </c>
      <c r="B30" s="61">
        <v>50.192962646484382</v>
      </c>
      <c r="C30" s="61">
        <v>40.289043426513672</v>
      </c>
      <c r="D30" s="61">
        <v>15.24460411071777</v>
      </c>
      <c r="E30" s="61">
        <v>19.904048919677731</v>
      </c>
      <c r="F30" s="61">
        <v>85.472221374511719</v>
      </c>
      <c r="G30" s="61">
        <v>26.42744255065918</v>
      </c>
      <c r="H30" s="61">
        <v>10.000541687011721</v>
      </c>
      <c r="I30" s="61">
        <v>516.69561767578125</v>
      </c>
      <c r="J30" s="61">
        <v>25.048248291015621</v>
      </c>
      <c r="K30" s="61">
        <v>352.4791259765625</v>
      </c>
      <c r="L30" s="61">
        <v>42.549270629882813</v>
      </c>
      <c r="M30" s="61">
        <v>43.021022796630859</v>
      </c>
      <c r="N30" s="5">
        <f t="shared" si="1"/>
        <v>1.0326725277533573E-2</v>
      </c>
      <c r="O30" s="5">
        <f t="shared" si="2"/>
        <v>1.3997570598947412E-2</v>
      </c>
      <c r="P30" s="5">
        <f t="shared" si="3"/>
        <v>1.2320191091107793E-2</v>
      </c>
      <c r="Q30" s="5">
        <f t="shared" si="4"/>
        <v>3.6472923360159622E-2</v>
      </c>
      <c r="R30" s="5">
        <f t="shared" si="5"/>
        <v>9.9105470816399893E-2</v>
      </c>
      <c r="S30" s="5">
        <f t="shared" si="6"/>
        <v>4.7683670784773565E-3</v>
      </c>
      <c r="T30" s="5">
        <f t="shared" si="7"/>
        <v>9.9762980488889638E-2</v>
      </c>
      <c r="U30" s="5">
        <f t="shared" si="8"/>
        <v>0.13629882333138854</v>
      </c>
      <c r="V30" s="5">
        <f t="shared" si="9"/>
        <v>4.5813285420350826E-2</v>
      </c>
      <c r="W30" s="5">
        <f t="shared" si="10"/>
        <v>0.11782583069685315</v>
      </c>
      <c r="X30" s="5">
        <f t="shared" si="11"/>
        <v>0.13968423062826602</v>
      </c>
      <c r="Y30" s="5">
        <f t="shared" si="12"/>
        <v>1.0376341656981934E-3</v>
      </c>
      <c r="AA30" s="6" t="s">
        <v>8</v>
      </c>
      <c r="AB30" s="9">
        <f t="array" ref="AB30">_xlfn.COVARIANCE.S(r_BN.PA,r_KER.PA)</f>
        <v>6.7824696874770995E-4</v>
      </c>
      <c r="AC30" s="9">
        <f>_xlfn.COVARIANCE.S(r_BNP.PA,r_KER.PA)</f>
        <v>2.5786093471474513E-3</v>
      </c>
      <c r="AD30" s="9">
        <f>_xlfn.COVARIANCE.S(r_CA.PA,r_KER.PA)</f>
        <v>1.1529168347962468E-3</v>
      </c>
      <c r="AE30" s="9">
        <f>_xlfn.COVARIANCE.S(r_CS.PA,r_KER.PA)</f>
        <v>2.3760742024569025E-3</v>
      </c>
      <c r="AF30" s="9">
        <f>_xlfn.COVARIANCE.S(r_DG.PA,r_KER.PA)</f>
        <v>1.9067646728961991E-3</v>
      </c>
      <c r="AG30" s="9">
        <f>_xlfn.COVARIANCE.S(r_EN.PA,r_KER.PA)</f>
        <v>1.0133847352993767E-3</v>
      </c>
      <c r="AH30" s="9">
        <f>_xlfn.COVARIANCE.S(r_ENGI.PA,r_KER.PA)</f>
        <v>1.3765347697689628E-3</v>
      </c>
      <c r="AI30" s="9">
        <f>_xlfn.COVARIANCE.S(r_KER.PA,r_KER.PA)</f>
        <v>8.5930649570569728E-3</v>
      </c>
      <c r="AJ30" s="7">
        <f>_xlfn.COVARIANCE.S(r_KER.PA,r_ML.PA)</f>
        <v>2.469834919733281E-3</v>
      </c>
      <c r="AK30" s="7">
        <f>_xlfn.COVARIANCE.S(r_KER.PA,r_OR.PA)</f>
        <v>3.4437359881164774E-3</v>
      </c>
      <c r="AL30" s="7">
        <f>_xlfn.COVARIANCE.S(r_KER.PA,r_SGO.PA)</f>
        <v>2.9720823638327686E-3</v>
      </c>
      <c r="AM30" s="7">
        <f>_xlfn.COVARIANCE.S(r_KER.PA,r_TTE.PA)</f>
        <v>8.115180793056018E-4</v>
      </c>
    </row>
    <row r="31" spans="1:39" x14ac:dyDescent="0.35">
      <c r="A31" s="3">
        <v>44774</v>
      </c>
      <c r="B31" s="61">
        <v>48.9803466796875</v>
      </c>
      <c r="C31" s="61">
        <v>40.713829040527337</v>
      </c>
      <c r="D31" s="61">
        <v>15.24460411071777</v>
      </c>
      <c r="E31" s="61">
        <v>20.857135772705082</v>
      </c>
      <c r="F31" s="61">
        <v>84.437911987304688</v>
      </c>
      <c r="G31" s="61">
        <v>26.248273849487301</v>
      </c>
      <c r="H31" s="61">
        <v>9.8413286209106445</v>
      </c>
      <c r="I31" s="61">
        <v>466.68679809570313</v>
      </c>
      <c r="J31" s="61">
        <v>22.411106109619141</v>
      </c>
      <c r="K31" s="61">
        <v>328.68365478515619</v>
      </c>
      <c r="L31" s="61">
        <v>37.878940582275391</v>
      </c>
      <c r="M31" s="61">
        <v>43.8250732421875</v>
      </c>
      <c r="N31" s="5">
        <f t="shared" si="1"/>
        <v>-2.4159083322845384E-2</v>
      </c>
      <c r="O31" s="5">
        <f t="shared" si="2"/>
        <v>1.0543452459685829E-2</v>
      </c>
      <c r="P31" s="5">
        <f t="shared" si="3"/>
        <v>0</v>
      </c>
      <c r="Q31" s="5">
        <f t="shared" si="4"/>
        <v>4.7884069059190314E-2</v>
      </c>
      <c r="R31" s="5">
        <f t="shared" si="5"/>
        <v>-1.2101117422408164E-2</v>
      </c>
      <c r="S31" s="5">
        <f t="shared" si="6"/>
        <v>-6.7796458483800415E-3</v>
      </c>
      <c r="T31" s="5">
        <f t="shared" si="7"/>
        <v>-1.5920444220322103E-2</v>
      </c>
      <c r="U31" s="5">
        <f t="shared" si="8"/>
        <v>-9.6785840385156724E-2</v>
      </c>
      <c r="V31" s="5">
        <f t="shared" si="9"/>
        <v>-0.10528249922939237</v>
      </c>
      <c r="W31" s="5">
        <f t="shared" si="10"/>
        <v>-6.7508880491801232E-2</v>
      </c>
      <c r="X31" s="5">
        <f t="shared" si="11"/>
        <v>-0.10976286969129381</v>
      </c>
      <c r="Y31" s="5">
        <f t="shared" si="12"/>
        <v>1.8689710129802143E-2</v>
      </c>
      <c r="AA31" s="6" t="s">
        <v>9</v>
      </c>
      <c r="AB31" s="9">
        <f t="array" ref="AB31">_xlfn.COVARIANCE.S(r_BN.PA,r_ML.PA)</f>
        <v>9.8826450180782596E-4</v>
      </c>
      <c r="AC31" s="9">
        <f>_xlfn.COVARIANCE.S(r_BNP.PA,r_ML.PA)</f>
        <v>3.4727992677922371E-3</v>
      </c>
      <c r="AD31" s="9">
        <f>_xlfn.COVARIANCE.S(r_CA.PA,r_ML.PA)</f>
        <v>1.4086100481433643E-3</v>
      </c>
      <c r="AE31" s="9">
        <f>_xlfn.COVARIANCE.S(r_CS.PA,r_ML.PA)</f>
        <v>2.6892393977832282E-3</v>
      </c>
      <c r="AF31" s="9">
        <f>_xlfn.COVARIANCE.S(r_DG.PA,r_ML.PA)</f>
        <v>2.1494860716953059E-3</v>
      </c>
      <c r="AG31" s="9">
        <f>_xlfn.COVARIANCE.S(r_EN.PA,r_ML.PA)</f>
        <v>1.8477621029949155E-3</v>
      </c>
      <c r="AH31" s="9">
        <f>_xlfn.COVARIANCE.S(r_ENGI.PA,r_ML.PA)</f>
        <v>1.0788464067747806E-3</v>
      </c>
      <c r="AI31" s="9">
        <f>_xlfn.COVARIANCE.S(r_KER.PA,r_ML.PA)</f>
        <v>2.469834919733281E-3</v>
      </c>
      <c r="AJ31" s="9">
        <f>_xlfn.COVARIANCE.S(r_ML.PA,r_ML.PA)</f>
        <v>4.1170211679505591E-3</v>
      </c>
      <c r="AK31" s="7">
        <f>_xlfn.COVARIANCE.S(r_ML.PA,r_OR.PA)</f>
        <v>1.9679299419534798E-3</v>
      </c>
      <c r="AL31" s="7">
        <f>_xlfn.COVARIANCE.S(r_ML.PA,r_SGO.PA)</f>
        <v>3.7470567694645237E-3</v>
      </c>
      <c r="AM31" s="7">
        <f>_xlfn.COVARIANCE.S(r_ML.PA,r_TTE.PA)</f>
        <v>2.3417288501874781E-3</v>
      </c>
    </row>
    <row r="32" spans="1:39" x14ac:dyDescent="0.35">
      <c r="A32" s="3">
        <v>44805</v>
      </c>
      <c r="B32" s="61">
        <v>45.305187225341797</v>
      </c>
      <c r="C32" s="61">
        <v>38.191383361816413</v>
      </c>
      <c r="D32" s="61">
        <v>13.02295970916748</v>
      </c>
      <c r="E32" s="61">
        <v>19.926212310791019</v>
      </c>
      <c r="F32" s="61">
        <v>76.126846313476563</v>
      </c>
      <c r="G32" s="61">
        <v>24.053451538085941</v>
      </c>
      <c r="H32" s="61">
        <v>9.8197689056396484</v>
      </c>
      <c r="I32" s="61">
        <v>425.44577026367188</v>
      </c>
      <c r="J32" s="61">
        <v>21.350717544555661</v>
      </c>
      <c r="K32" s="61">
        <v>316.2353515625</v>
      </c>
      <c r="L32" s="61">
        <v>34.781036376953118</v>
      </c>
      <c r="M32" s="61">
        <v>41.737140655517578</v>
      </c>
      <c r="N32" s="5">
        <f t="shared" si="1"/>
        <v>-7.5033349158996829E-2</v>
      </c>
      <c r="O32" s="5">
        <f t="shared" si="2"/>
        <v>-6.195550107065665E-2</v>
      </c>
      <c r="P32" s="5">
        <f t="shared" si="3"/>
        <v>-0.14573316469322775</v>
      </c>
      <c r="Q32" s="5">
        <f t="shared" si="4"/>
        <v>-4.4633331827485426E-2</v>
      </c>
      <c r="R32" s="5">
        <f t="shared" si="5"/>
        <v>-9.8428128766112802E-2</v>
      </c>
      <c r="S32" s="5">
        <f t="shared" si="6"/>
        <v>-8.3617777076957417E-2</v>
      </c>
      <c r="T32" s="5">
        <f t="shared" si="7"/>
        <v>-2.1907321766683487E-3</v>
      </c>
      <c r="U32" s="5">
        <f t="shared" si="8"/>
        <v>-8.8369818902770805E-2</v>
      </c>
      <c r="V32" s="5">
        <f t="shared" si="9"/>
        <v>-4.7315315891898233E-2</v>
      </c>
      <c r="W32" s="5">
        <f t="shared" si="10"/>
        <v>-3.7873204345354551E-2</v>
      </c>
      <c r="X32" s="5">
        <f t="shared" si="11"/>
        <v>-8.1784341317398618E-2</v>
      </c>
      <c r="Y32" s="5">
        <f t="shared" si="12"/>
        <v>-4.7642420929487624E-2</v>
      </c>
      <c r="AA32" s="6" t="s">
        <v>10</v>
      </c>
      <c r="AB32" s="9">
        <f t="array" ref="AB32">_xlfn.COVARIANCE.S(r_BN.PA,r_OR.PA)</f>
        <v>8.9934886182130693E-4</v>
      </c>
      <c r="AC32" s="9">
        <f>_xlfn.COVARIANCE.S(r_BNP.PA,r_OR.PA)</f>
        <v>2.5874633990755356E-3</v>
      </c>
      <c r="AD32" s="9">
        <f>_xlfn.COVARIANCE.S(r_CA.PA,r_OR.PA)</f>
        <v>9.8430171331587353E-4</v>
      </c>
      <c r="AE32" s="9">
        <f>_xlfn.COVARIANCE.S(r_CS.PA,r_OR.PA)</f>
        <v>2.2424664002406013E-3</v>
      </c>
      <c r="AF32" s="9">
        <f>_xlfn.COVARIANCE.S(r_DG.PA,r_OR.PA)</f>
        <v>1.6977869062652158E-3</v>
      </c>
      <c r="AG32" s="9">
        <f>_xlfn.COVARIANCE.S(r_EN.PA,r_OR.PA)</f>
        <v>1.443404729485396E-3</v>
      </c>
      <c r="AH32" s="9">
        <f>_xlfn.COVARIANCE.S(r_ENGI.PA,r_OR.PA)</f>
        <v>9.6638326751576488E-4</v>
      </c>
      <c r="AI32" s="9">
        <f>_xlfn.COVARIANCE.S(r_KER.PA,r_OR.PA)</f>
        <v>3.4437359881164774E-3</v>
      </c>
      <c r="AJ32" s="9">
        <f>_xlfn.COVARIANCE.S(r_ML.PA,r_OR.PA)</f>
        <v>1.9679299419534798E-3</v>
      </c>
      <c r="AK32" s="9">
        <f>_xlfn.COVARIANCE.S(r_OR.PA,r_OR.PA)</f>
        <v>3.8383638003117197E-3</v>
      </c>
      <c r="AL32" s="7">
        <f>_xlfn.COVARIANCE.S(r_OR.PA,r_SGO.PA)</f>
        <v>2.1507037896846552E-3</v>
      </c>
      <c r="AM32" s="7">
        <f>_xlfn.COVARIANCE.S(r_OR.PA,r_TTE.PA)</f>
        <v>4.0556394450130335E-4</v>
      </c>
    </row>
    <row r="33" spans="1:39" x14ac:dyDescent="0.35">
      <c r="A33" s="3">
        <v>44835</v>
      </c>
      <c r="B33" s="61">
        <v>46.956211090087891</v>
      </c>
      <c r="C33" s="61">
        <v>41.598434448242188</v>
      </c>
      <c r="D33" s="61">
        <v>14.919374465942379</v>
      </c>
      <c r="E33" s="61">
        <v>22.164863586425781</v>
      </c>
      <c r="F33" s="61">
        <v>85.289161682128906</v>
      </c>
      <c r="G33" s="61">
        <v>25.872016906738281</v>
      </c>
      <c r="H33" s="61">
        <v>10.90772151947021</v>
      </c>
      <c r="I33" s="61">
        <v>430.22396850585938</v>
      </c>
      <c r="J33" s="61">
        <v>23.798833847045898</v>
      </c>
      <c r="K33" s="61">
        <v>304.60092163085938</v>
      </c>
      <c r="L33" s="61">
        <v>38.864643096923828</v>
      </c>
      <c r="M33" s="61">
        <v>48.320060729980469</v>
      </c>
      <c r="N33" s="5">
        <f t="shared" si="1"/>
        <v>3.6442269988514277E-2</v>
      </c>
      <c r="O33" s="5">
        <f t="shared" si="2"/>
        <v>8.9209941785772795E-2</v>
      </c>
      <c r="P33" s="5">
        <f t="shared" si="3"/>
        <v>0.14562087260700979</v>
      </c>
      <c r="Q33" s="5">
        <f t="shared" si="4"/>
        <v>0.11234705526159745</v>
      </c>
      <c r="R33" s="5">
        <f t="shared" si="5"/>
        <v>0.12035590349984536</v>
      </c>
      <c r="S33" s="5">
        <f t="shared" si="6"/>
        <v>7.5605173160818356E-2</v>
      </c>
      <c r="T33" s="5">
        <f t="shared" si="7"/>
        <v>0.11079207915022651</v>
      </c>
      <c r="U33" s="5">
        <f t="shared" si="8"/>
        <v>1.1231039479429284E-2</v>
      </c>
      <c r="V33" s="5">
        <f t="shared" si="9"/>
        <v>0.11466201533421048</v>
      </c>
      <c r="W33" s="5">
        <f t="shared" si="10"/>
        <v>-3.6790415347795875E-2</v>
      </c>
      <c r="X33" s="5">
        <f t="shared" si="11"/>
        <v>0.11740900057471035</v>
      </c>
      <c r="Y33" s="5">
        <f t="shared" si="12"/>
        <v>0.15772331240407195</v>
      </c>
      <c r="AA33" s="6" t="s">
        <v>11</v>
      </c>
      <c r="AB33" s="9">
        <f t="array" ref="AB33">_xlfn.COVARIANCE.S(r_BN.PA,r_SGO.PA)</f>
        <v>1.5240945955596085E-3</v>
      </c>
      <c r="AC33" s="9">
        <f>_xlfn.COVARIANCE.S(r_BNP.PA,r_SGO.PA)</f>
        <v>4.7229615350869465E-3</v>
      </c>
      <c r="AD33" s="9">
        <f>_xlfn.COVARIANCE.S(r_CA.PA,r_SGO.PA)</f>
        <v>2.2217546727433895E-3</v>
      </c>
      <c r="AE33" s="9">
        <f>_xlfn.COVARIANCE.S(r_CS.PA,r_SGO.PA)</f>
        <v>3.413331438098985E-3</v>
      </c>
      <c r="AF33" s="9">
        <f>_xlfn.COVARIANCE.S(r_DG.PA,r_SGO.PA)</f>
        <v>3.6168094056824268E-3</v>
      </c>
      <c r="AG33" s="9">
        <f>_xlfn.COVARIANCE.S(r_EN.PA,r_SGO.PA)</f>
        <v>2.6318445158480218E-3</v>
      </c>
      <c r="AH33" s="9">
        <f>_xlfn.COVARIANCE.S(r_ENGI.PA,r_SGO.PA)</f>
        <v>2.03789642719084E-3</v>
      </c>
      <c r="AI33" s="9">
        <f>_xlfn.COVARIANCE.S(r_KER.PA,r_SGO.PA)</f>
        <v>2.9720823638327686E-3</v>
      </c>
      <c r="AJ33" s="9">
        <f>_xlfn.COVARIANCE.S(r_ML.PA,r_SGO.PA)</f>
        <v>3.7470567694645237E-3</v>
      </c>
      <c r="AK33" s="9">
        <f>_xlfn.COVARIANCE.S(r_OR.PA,r_SGO.PA)</f>
        <v>2.1507037896846552E-3</v>
      </c>
      <c r="AL33" s="9">
        <f>_xlfn.COVARIANCE.S(r_SGO.PA,r_SGO.PA)</f>
        <v>7.2206720874013171E-3</v>
      </c>
      <c r="AM33" s="7">
        <f>_xlfn.COVARIANCE.S(r_SGO.PA,r_TTE.PA)</f>
        <v>2.3396942096443039E-3</v>
      </c>
    </row>
    <row r="34" spans="1:39" ht="15" thickBot="1" x14ac:dyDescent="0.4">
      <c r="A34" s="3">
        <v>44866</v>
      </c>
      <c r="B34" s="61">
        <v>46.713687896728523</v>
      </c>
      <c r="C34" s="61">
        <v>46.796600341796882</v>
      </c>
      <c r="D34" s="61">
        <v>15.047634124755859</v>
      </c>
      <c r="E34" s="61">
        <v>23.95578575134277</v>
      </c>
      <c r="F34" s="61">
        <v>88.437843322753906</v>
      </c>
      <c r="G34" s="61">
        <v>26.481191635131839</v>
      </c>
      <c r="H34" s="61">
        <v>12.04045295715332</v>
      </c>
      <c r="I34" s="61">
        <v>526.4376220703125</v>
      </c>
      <c r="J34" s="61">
        <v>24.642534255981449</v>
      </c>
      <c r="K34" s="61">
        <v>339.7435302734375</v>
      </c>
      <c r="L34" s="61">
        <v>41.066028594970703</v>
      </c>
      <c r="M34" s="61">
        <v>52.888980865478523</v>
      </c>
      <c r="N34" s="5">
        <f t="shared" si="1"/>
        <v>-5.1648799536673593E-3</v>
      </c>
      <c r="O34" s="5">
        <f t="shared" si="2"/>
        <v>0.12496061360247541</v>
      </c>
      <c r="P34" s="5">
        <f t="shared" si="3"/>
        <v>8.5968523081358713E-3</v>
      </c>
      <c r="Q34" s="5">
        <f t="shared" si="4"/>
        <v>8.0800053559264229E-2</v>
      </c>
      <c r="R34" s="5">
        <f t="shared" si="5"/>
        <v>3.6917722938350328E-2</v>
      </c>
      <c r="S34" s="5">
        <f t="shared" si="6"/>
        <v>2.3545699223584717E-2</v>
      </c>
      <c r="T34" s="5">
        <f t="shared" si="7"/>
        <v>0.10384675073168972</v>
      </c>
      <c r="U34" s="5">
        <f t="shared" si="8"/>
        <v>0.22363620022984088</v>
      </c>
      <c r="V34" s="5">
        <f t="shared" si="9"/>
        <v>3.5451334059390362E-2</v>
      </c>
      <c r="W34" s="5">
        <f t="shared" si="10"/>
        <v>0.11537262741826779</v>
      </c>
      <c r="X34" s="5">
        <f t="shared" si="11"/>
        <v>5.6642370098623565E-2</v>
      </c>
      <c r="Y34" s="5">
        <f t="shared" si="12"/>
        <v>9.4555347540431392E-2</v>
      </c>
      <c r="AA34" s="6" t="s">
        <v>12</v>
      </c>
      <c r="AB34" s="11">
        <f t="array" ref="AB34">_xlfn.COVARIANCE.S(r_BN.PA,r_TTE.PA)</f>
        <v>1.2891974556949368E-3</v>
      </c>
      <c r="AC34" s="11">
        <f>_xlfn.COVARIANCE.S(r_BNP.PA,r_TTE.PA)</f>
        <v>6.0361892108364229E-3</v>
      </c>
      <c r="AD34" s="11">
        <f>_xlfn.COVARIANCE.S(r_CA.PA,r_TTE.PA)</f>
        <v>1.3533643346042021E-3</v>
      </c>
      <c r="AE34" s="11">
        <f>_xlfn.COVARIANCE.S(r_CS.PA,r_TTE.PA)</f>
        <v>4.5829542371310346E-3</v>
      </c>
      <c r="AF34" s="11">
        <f>_xlfn.COVARIANCE.S(r_DG.PA,r_TTE.PA)</f>
        <v>3.5813150548939135E-3</v>
      </c>
      <c r="AG34" s="11">
        <f>_xlfn.COVARIANCE.S(r_EN.PA,r_TTE.PA)</f>
        <v>2.6077557879229181E-3</v>
      </c>
      <c r="AH34" s="11">
        <f>_xlfn.COVARIANCE.S(r_ENGI.PA,r_TTE.PA)</f>
        <v>2.3898488184972097E-3</v>
      </c>
      <c r="AI34" s="11">
        <f>_xlfn.COVARIANCE.S(r_KER.PA,r_TTE.PA)</f>
        <v>8.115180793056018E-4</v>
      </c>
      <c r="AJ34" s="11">
        <f>_xlfn.COVARIANCE.S(r_ML.PA,r_TTE.PA)</f>
        <v>2.3417288501874781E-3</v>
      </c>
      <c r="AK34" s="11">
        <f>_xlfn.COVARIANCE.S(r_OR.PA,r_TTE.PA)</f>
        <v>4.0556394450130335E-4</v>
      </c>
      <c r="AL34" s="11">
        <f>_xlfn.COVARIANCE.S(r_SGO.PA,r_TTE.PA)</f>
        <v>2.3396942096443039E-3</v>
      </c>
      <c r="AM34" s="11">
        <f>_xlfn.COVARIANCE.S(r_TTE.PA,r_TTE.PA)</f>
        <v>6.6574400305863448E-3</v>
      </c>
    </row>
    <row r="35" spans="1:39" x14ac:dyDescent="0.35">
      <c r="A35" s="3">
        <v>44896</v>
      </c>
      <c r="B35" s="61">
        <v>45.920822143554688</v>
      </c>
      <c r="C35" s="61">
        <v>46.638942718505859</v>
      </c>
      <c r="D35" s="61">
        <v>14.32846260070801</v>
      </c>
      <c r="E35" s="61">
        <v>23.1002197265625</v>
      </c>
      <c r="F35" s="61">
        <v>86.296897888183594</v>
      </c>
      <c r="G35" s="61">
        <v>25.119508743286129</v>
      </c>
      <c r="H35" s="61">
        <v>11.101761817932131</v>
      </c>
      <c r="I35" s="61">
        <v>441.172119140625</v>
      </c>
      <c r="J35" s="61">
        <v>23.960197448730469</v>
      </c>
      <c r="K35" s="61">
        <v>319.44317626953119</v>
      </c>
      <c r="L35" s="61">
        <v>42.8543701171875</v>
      </c>
      <c r="M35" s="61">
        <v>51.433242797851563</v>
      </c>
      <c r="N35" s="5">
        <f t="shared" si="1"/>
        <v>-1.6972878590246387E-2</v>
      </c>
      <c r="O35" s="5">
        <f t="shared" si="2"/>
        <v>-3.3689973660374884E-3</v>
      </c>
      <c r="P35" s="5">
        <f t="shared" si="3"/>
        <v>-4.7792996432887286E-2</v>
      </c>
      <c r="Q35" s="5">
        <f t="shared" si="4"/>
        <v>-3.5714379551600124E-2</v>
      </c>
      <c r="R35" s="5">
        <f t="shared" si="5"/>
        <v>-2.4208476305295372E-2</v>
      </c>
      <c r="S35" s="5">
        <f t="shared" si="6"/>
        <v>-5.1420755931511949E-2</v>
      </c>
      <c r="T35" s="5">
        <f t="shared" si="7"/>
        <v>-7.7961447344346499E-2</v>
      </c>
      <c r="U35" s="5">
        <f t="shared" si="8"/>
        <v>-0.16196696314060016</v>
      </c>
      <c r="V35" s="5">
        <f t="shared" si="9"/>
        <v>-2.7689392664042151E-2</v>
      </c>
      <c r="W35" s="5">
        <f t="shared" si="10"/>
        <v>-5.9751995829229979E-2</v>
      </c>
      <c r="X35" s="5">
        <f t="shared" si="11"/>
        <v>4.354795395130593E-2</v>
      </c>
      <c r="Y35" s="5">
        <f t="shared" si="12"/>
        <v>-2.7524411395439527E-2</v>
      </c>
    </row>
    <row r="36" spans="1:39" x14ac:dyDescent="0.35">
      <c r="A36" s="3">
        <v>44927</v>
      </c>
      <c r="B36" s="61">
        <v>46.928230285644531</v>
      </c>
      <c r="C36" s="61">
        <v>55.090885162353523</v>
      </c>
      <c r="D36" s="61">
        <v>16.005001068115231</v>
      </c>
      <c r="E36" s="61">
        <v>25.369903564453121</v>
      </c>
      <c r="F36" s="61">
        <v>95.871047973632813</v>
      </c>
      <c r="G36" s="61">
        <v>27.090366363525391</v>
      </c>
      <c r="H36" s="61">
        <v>10.796604156494141</v>
      </c>
      <c r="I36" s="61">
        <v>529.31378173828125</v>
      </c>
      <c r="J36" s="61">
        <v>26.69876861572266</v>
      </c>
      <c r="K36" s="61">
        <v>362.00686645507813</v>
      </c>
      <c r="L36" s="61">
        <v>49.331806182861328</v>
      </c>
      <c r="M36" s="61">
        <v>50.833843231201172</v>
      </c>
      <c r="N36" s="5">
        <f t="shared" si="1"/>
        <v>2.1937937847466012E-2</v>
      </c>
      <c r="O36" s="5">
        <f t="shared" si="2"/>
        <v>0.18122071280346624</v>
      </c>
      <c r="P36" s="5">
        <f t="shared" si="3"/>
        <v>0.11700756139213279</v>
      </c>
      <c r="Q36" s="5">
        <f t="shared" si="4"/>
        <v>9.8253777009781232E-2</v>
      </c>
      <c r="R36" s="5">
        <f t="shared" si="5"/>
        <v>0.11094431340805104</v>
      </c>
      <c r="S36" s="5">
        <f t="shared" si="6"/>
        <v>7.8459242192227455E-2</v>
      </c>
      <c r="T36" s="5">
        <f t="shared" si="7"/>
        <v>-2.7487318359243115E-2</v>
      </c>
      <c r="U36" s="5">
        <f t="shared" si="8"/>
        <v>0.19978973913707548</v>
      </c>
      <c r="V36" s="5">
        <f t="shared" si="9"/>
        <v>0.1142966861125468</v>
      </c>
      <c r="W36" s="5">
        <f t="shared" si="10"/>
        <v>0.13324338520110909</v>
      </c>
      <c r="X36" s="5">
        <f t="shared" si="11"/>
        <v>0.15114995385443639</v>
      </c>
      <c r="Y36" s="5">
        <f t="shared" si="12"/>
        <v>-1.1653933021610458E-2</v>
      </c>
    </row>
    <row r="37" spans="1:39" x14ac:dyDescent="0.35">
      <c r="A37" s="3">
        <v>44958</v>
      </c>
      <c r="B37" s="61">
        <v>49.661277770996087</v>
      </c>
      <c r="C37" s="61">
        <v>57.937393188476563</v>
      </c>
      <c r="D37" s="61">
        <v>17.141017913818359</v>
      </c>
      <c r="E37" s="61">
        <v>26.464847564697269</v>
      </c>
      <c r="F37" s="61">
        <v>99.756202697753906</v>
      </c>
      <c r="G37" s="61">
        <v>28.7028923034668</v>
      </c>
      <c r="H37" s="61">
        <v>11.473258018493651</v>
      </c>
      <c r="I37" s="61">
        <v>519.0772705078125</v>
      </c>
      <c r="J37" s="61">
        <v>27.417989730834961</v>
      </c>
      <c r="K37" s="61">
        <v>359.18206787109381</v>
      </c>
      <c r="L37" s="61">
        <v>52.880317687988281</v>
      </c>
      <c r="M37" s="61">
        <v>52.874393463134773</v>
      </c>
      <c r="N37" s="5">
        <f t="shared" si="1"/>
        <v>5.8238878148950818E-2</v>
      </c>
      <c r="O37" s="5">
        <f t="shared" si="2"/>
        <v>5.1669310045288713E-2</v>
      </c>
      <c r="P37" s="5">
        <f t="shared" si="3"/>
        <v>7.0978867222088057E-2</v>
      </c>
      <c r="Q37" s="5">
        <f t="shared" si="4"/>
        <v>4.3159170765564969E-2</v>
      </c>
      <c r="R37" s="5">
        <f t="shared" si="5"/>
        <v>4.052479665383045E-2</v>
      </c>
      <c r="S37" s="5">
        <f t="shared" si="6"/>
        <v>5.9523962072086371E-2</v>
      </c>
      <c r="T37" s="5">
        <f t="shared" si="7"/>
        <v>6.2672841589038311E-2</v>
      </c>
      <c r="U37" s="5">
        <f t="shared" si="8"/>
        <v>-1.933921160497987E-2</v>
      </c>
      <c r="V37" s="5">
        <f t="shared" si="9"/>
        <v>2.6938362793584362E-2</v>
      </c>
      <c r="W37" s="5">
        <f t="shared" si="10"/>
        <v>-7.8031629942435111E-3</v>
      </c>
      <c r="X37" s="5">
        <f t="shared" si="11"/>
        <v>7.1931513960252352E-2</v>
      </c>
      <c r="Y37" s="5">
        <f t="shared" si="12"/>
        <v>4.0141569124585427E-2</v>
      </c>
    </row>
    <row r="38" spans="1:39" x14ac:dyDescent="0.35">
      <c r="A38" s="3">
        <v>44986</v>
      </c>
      <c r="B38" s="61">
        <v>53.457695007324219</v>
      </c>
      <c r="C38" s="61">
        <v>48.355606079101563</v>
      </c>
      <c r="D38" s="61">
        <v>17.06772613525391</v>
      </c>
      <c r="E38" s="61">
        <v>24.9709358215332</v>
      </c>
      <c r="F38" s="61">
        <v>97.795127868652344</v>
      </c>
      <c r="G38" s="61">
        <v>27.851835250854489</v>
      </c>
      <c r="H38" s="61">
        <v>12.085231781005859</v>
      </c>
      <c r="I38" s="61">
        <v>561.16461181640625</v>
      </c>
      <c r="J38" s="61">
        <v>25.951885223388668</v>
      </c>
      <c r="K38" s="61">
        <v>393.79800415039063</v>
      </c>
      <c r="L38" s="61">
        <v>49.115890502929688</v>
      </c>
      <c r="M38" s="61">
        <v>49.07379150390625</v>
      </c>
      <c r="N38" s="5">
        <f t="shared" si="1"/>
        <v>7.6446225444190483E-2</v>
      </c>
      <c r="O38" s="5">
        <f t="shared" si="2"/>
        <v>-0.16538174367294051</v>
      </c>
      <c r="P38" s="5">
        <f t="shared" si="3"/>
        <v>-4.2758124945056417E-3</v>
      </c>
      <c r="Q38" s="5">
        <f t="shared" si="4"/>
        <v>-5.6448907914998542E-2</v>
      </c>
      <c r="R38" s="5">
        <f t="shared" si="5"/>
        <v>-1.965867561181454E-2</v>
      </c>
      <c r="S38" s="5">
        <f t="shared" si="6"/>
        <v>-2.9650567741200045E-2</v>
      </c>
      <c r="T38" s="5">
        <f t="shared" si="7"/>
        <v>5.3339144079717661E-2</v>
      </c>
      <c r="U38" s="5">
        <f t="shared" si="8"/>
        <v>8.1081071547247224E-2</v>
      </c>
      <c r="V38" s="5">
        <f t="shared" si="9"/>
        <v>-5.3472355991054828E-2</v>
      </c>
      <c r="W38" s="5">
        <f t="shared" si="10"/>
        <v>9.6374344310863724E-2</v>
      </c>
      <c r="X38" s="5">
        <f t="shared" si="11"/>
        <v>-7.118768096799237E-2</v>
      </c>
      <c r="Y38" s="5">
        <f t="shared" si="12"/>
        <v>-7.1879821408795702E-2</v>
      </c>
      <c r="AA38" s="73" t="s">
        <v>26</v>
      </c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</row>
    <row r="39" spans="1:39" ht="15" thickBot="1" x14ac:dyDescent="0.4">
      <c r="A39" s="3">
        <v>45017</v>
      </c>
      <c r="B39" s="61">
        <v>55.957550048828118</v>
      </c>
      <c r="C39" s="61">
        <v>51.31597900390625</v>
      </c>
      <c r="D39" s="61">
        <v>17.278440475463871</v>
      </c>
      <c r="E39" s="61">
        <v>26.21660041809082</v>
      </c>
      <c r="F39" s="61">
        <v>103.7893753051758</v>
      </c>
      <c r="G39" s="61">
        <v>29.742071151733398</v>
      </c>
      <c r="H39" s="61">
        <v>12.037136077880859</v>
      </c>
      <c r="I39" s="61">
        <v>542.1785888671875</v>
      </c>
      <c r="J39" s="61">
        <v>26.5835075378418</v>
      </c>
      <c r="K39" s="61">
        <v>414.38558959960938</v>
      </c>
      <c r="L39" s="61">
        <v>49.209766387939453</v>
      </c>
      <c r="M39" s="61">
        <v>52.967624664306641</v>
      </c>
      <c r="N39" s="5">
        <f t="shared" si="1"/>
        <v>4.6763240374681228E-2</v>
      </c>
      <c r="O39" s="5">
        <f t="shared" si="2"/>
        <v>6.1220883468237786E-2</v>
      </c>
      <c r="P39" s="5">
        <f t="shared" si="3"/>
        <v>1.2345776967602265E-2</v>
      </c>
      <c r="Q39" s="5">
        <f t="shared" si="4"/>
        <v>4.9884578033453045E-2</v>
      </c>
      <c r="R39" s="5">
        <f t="shared" si="5"/>
        <v>6.1293927081666741E-2</v>
      </c>
      <c r="S39" s="5">
        <f t="shared" si="6"/>
        <v>6.7867552850791685E-2</v>
      </c>
      <c r="T39" s="5">
        <f t="shared" si="7"/>
        <v>-3.9797087880921863E-3</v>
      </c>
      <c r="U39" s="5">
        <f t="shared" si="8"/>
        <v>-3.3833250617432593E-2</v>
      </c>
      <c r="V39" s="5">
        <f t="shared" si="9"/>
        <v>2.4338205452754311E-2</v>
      </c>
      <c r="W39" s="5">
        <f t="shared" si="10"/>
        <v>5.227955762151703E-2</v>
      </c>
      <c r="X39" s="5">
        <f t="shared" si="11"/>
        <v>1.9113139158937996E-3</v>
      </c>
      <c r="Y39" s="5">
        <f t="shared" si="12"/>
        <v>7.9346491091694907E-2</v>
      </c>
      <c r="AB39" s="8" t="s">
        <v>1</v>
      </c>
      <c r="AC39" s="8" t="s">
        <v>2</v>
      </c>
      <c r="AD39" s="8" t="s">
        <v>3</v>
      </c>
      <c r="AE39" s="8" t="s">
        <v>4</v>
      </c>
      <c r="AF39" s="8" t="s">
        <v>5</v>
      </c>
      <c r="AG39" s="8" t="s">
        <v>6</v>
      </c>
      <c r="AH39" s="8" t="s">
        <v>7</v>
      </c>
      <c r="AI39" s="8" t="s">
        <v>8</v>
      </c>
      <c r="AJ39" s="8" t="s">
        <v>9</v>
      </c>
      <c r="AK39" s="8" t="s">
        <v>10</v>
      </c>
      <c r="AL39" s="8" t="s">
        <v>11</v>
      </c>
      <c r="AM39" s="8" t="s">
        <v>12</v>
      </c>
    </row>
    <row r="40" spans="1:39" x14ac:dyDescent="0.35">
      <c r="A40" s="3">
        <v>45047</v>
      </c>
      <c r="B40" s="61">
        <v>51.6201171875</v>
      </c>
      <c r="C40" s="61">
        <v>47.304588317871087</v>
      </c>
      <c r="D40" s="61">
        <v>15.74390125274658</v>
      </c>
      <c r="E40" s="61">
        <v>23.41939544677734</v>
      </c>
      <c r="F40" s="61">
        <v>101.080078125</v>
      </c>
      <c r="G40" s="61">
        <v>26.839530944824219</v>
      </c>
      <c r="H40" s="61">
        <v>12.80782318115234</v>
      </c>
      <c r="I40" s="61">
        <v>466.09396362304688</v>
      </c>
      <c r="J40" s="61">
        <v>24.490390777587891</v>
      </c>
      <c r="K40" s="61">
        <v>392.95663452148438</v>
      </c>
      <c r="L40" s="61">
        <v>48.627738952636719</v>
      </c>
      <c r="M40" s="61">
        <v>48.524707794189453</v>
      </c>
      <c r="N40" s="5">
        <f t="shared" si="1"/>
        <v>-7.7512915728857115E-2</v>
      </c>
      <c r="O40" s="5">
        <f t="shared" si="2"/>
        <v>-7.8170401576666992E-2</v>
      </c>
      <c r="P40" s="5">
        <f t="shared" si="3"/>
        <v>-8.8812368506081457E-2</v>
      </c>
      <c r="Q40" s="5">
        <f t="shared" si="4"/>
        <v>-0.10669594557283876</v>
      </c>
      <c r="R40" s="5">
        <f t="shared" si="5"/>
        <v>-2.6103800819780899E-2</v>
      </c>
      <c r="S40" s="5">
        <f t="shared" si="6"/>
        <v>-9.7590386093203085E-2</v>
      </c>
      <c r="T40" s="5">
        <f t="shared" si="7"/>
        <v>6.4025786390142767E-2</v>
      </c>
      <c r="U40" s="5">
        <f t="shared" si="8"/>
        <v>-0.14033129822243567</v>
      </c>
      <c r="V40" s="5">
        <f t="shared" si="9"/>
        <v>-7.8737418577076182E-2</v>
      </c>
      <c r="W40" s="5">
        <f t="shared" si="10"/>
        <v>-5.1712597194391433E-2</v>
      </c>
      <c r="X40" s="5">
        <f t="shared" si="11"/>
        <v>-1.1827478121200352E-2</v>
      </c>
      <c r="Y40" s="5">
        <f t="shared" si="12"/>
        <v>-8.3879858654698963E-2</v>
      </c>
      <c r="AA40" s="6" t="s">
        <v>1</v>
      </c>
      <c r="AB40" s="13">
        <v>1</v>
      </c>
      <c r="AC40" s="10">
        <v>0.27966714616536836</v>
      </c>
      <c r="AD40" s="10">
        <v>0.32610261573191462</v>
      </c>
      <c r="AE40" s="10">
        <v>0.46440991445223806</v>
      </c>
      <c r="AF40" s="10">
        <v>0.45426338255742443</v>
      </c>
      <c r="AG40" s="10">
        <v>0.43849991737029237</v>
      </c>
      <c r="AH40" s="10">
        <v>0.23158324937237684</v>
      </c>
      <c r="AI40" s="10">
        <v>0.14202242745680133</v>
      </c>
      <c r="AJ40" s="10">
        <v>0.29896803926230148</v>
      </c>
      <c r="AK40" s="10">
        <v>0.28177226253777254</v>
      </c>
      <c r="AL40" s="10">
        <v>0.34814986325991659</v>
      </c>
      <c r="AM40" s="10">
        <v>0.53901629302265819</v>
      </c>
    </row>
    <row r="41" spans="1:39" x14ac:dyDescent="0.35">
      <c r="A41" s="3">
        <v>45078</v>
      </c>
      <c r="B41" s="61">
        <v>54.157257080078118</v>
      </c>
      <c r="C41" s="61">
        <v>54.077861785888672</v>
      </c>
      <c r="D41" s="61">
        <v>15.89964485168457</v>
      </c>
      <c r="E41" s="61">
        <v>25.45993614196777</v>
      </c>
      <c r="F41" s="61">
        <v>101.1371154785156</v>
      </c>
      <c r="G41" s="61">
        <v>29.161422729492191</v>
      </c>
      <c r="H41" s="61">
        <v>13.889583587646481</v>
      </c>
      <c r="I41" s="61">
        <v>480.753173828125</v>
      </c>
      <c r="J41" s="61">
        <v>26.093057632446289</v>
      </c>
      <c r="K41" s="61">
        <v>420.63101196289063</v>
      </c>
      <c r="L41" s="61">
        <v>52.317062377929688</v>
      </c>
      <c r="M41" s="61">
        <v>48.040191650390618</v>
      </c>
      <c r="N41" s="5">
        <f t="shared" si="1"/>
        <v>4.9150215668098012E-2</v>
      </c>
      <c r="O41" s="5">
        <f t="shared" si="2"/>
        <v>0.14318428103640693</v>
      </c>
      <c r="P41" s="5">
        <f t="shared" si="3"/>
        <v>9.892312993948691E-3</v>
      </c>
      <c r="Q41" s="5">
        <f t="shared" si="4"/>
        <v>8.713037447220788E-2</v>
      </c>
      <c r="R41" s="5">
        <f t="shared" si="5"/>
        <v>5.6427888238334877E-4</v>
      </c>
      <c r="S41" s="5">
        <f t="shared" si="6"/>
        <v>8.6510147641597659E-2</v>
      </c>
      <c r="T41" s="5">
        <f t="shared" si="7"/>
        <v>8.4460910429028341E-2</v>
      </c>
      <c r="U41" s="5">
        <f t="shared" si="8"/>
        <v>3.1451190852438825E-2</v>
      </c>
      <c r="V41" s="5">
        <f t="shared" si="9"/>
        <v>6.5440640348011975E-2</v>
      </c>
      <c r="W41" s="5">
        <f t="shared" si="10"/>
        <v>7.0426034351363492E-2</v>
      </c>
      <c r="X41" s="5">
        <f t="shared" si="11"/>
        <v>7.5868701789453125E-2</v>
      </c>
      <c r="Y41" s="5">
        <f t="shared" si="12"/>
        <v>-9.984936866675025E-3</v>
      </c>
      <c r="AA41" s="6" t="s">
        <v>2</v>
      </c>
      <c r="AB41" s="13">
        <v>0.27966714616536836</v>
      </c>
      <c r="AC41" s="13">
        <v>1</v>
      </c>
      <c r="AD41" s="10">
        <v>0.28948035974478048</v>
      </c>
      <c r="AE41" s="10">
        <v>0.79554937563800243</v>
      </c>
      <c r="AF41" s="10">
        <v>0.7022054968213024</v>
      </c>
      <c r="AG41" s="10">
        <v>0.58692068813458331</v>
      </c>
      <c r="AH41" s="10">
        <v>0.36317907155654033</v>
      </c>
      <c r="AI41" s="10">
        <v>0.26976636559764144</v>
      </c>
      <c r="AJ41" s="10">
        <v>0.52488532055653336</v>
      </c>
      <c r="AK41" s="10">
        <v>0.40502090856543649</v>
      </c>
      <c r="AL41" s="10">
        <v>0.53901629302265819</v>
      </c>
      <c r="AM41" s="12">
        <v>0.71743987180223368</v>
      </c>
    </row>
    <row r="42" spans="1:39" x14ac:dyDescent="0.35">
      <c r="A42" s="3">
        <v>45108</v>
      </c>
      <c r="B42" s="61">
        <v>53.568798065185547</v>
      </c>
      <c r="C42" s="61">
        <v>56.23272705078125</v>
      </c>
      <c r="D42" s="61">
        <v>17.220609664916989</v>
      </c>
      <c r="E42" s="61">
        <v>26.350210189819339</v>
      </c>
      <c r="F42" s="61">
        <v>101.5174026489258</v>
      </c>
      <c r="G42" s="61">
        <v>30.87735748291016</v>
      </c>
      <c r="H42" s="61">
        <v>13.60135650634766</v>
      </c>
      <c r="I42" s="61">
        <v>497.86859130859381</v>
      </c>
      <c r="J42" s="61">
        <v>28.706222534179691</v>
      </c>
      <c r="K42" s="61">
        <v>416.79010009765619</v>
      </c>
      <c r="L42" s="61">
        <v>59.859664916992188</v>
      </c>
      <c r="M42" s="61">
        <v>51.230762481689453</v>
      </c>
      <c r="N42" s="5">
        <f t="shared" si="1"/>
        <v>-1.0865746284426157E-2</v>
      </c>
      <c r="O42" s="5">
        <f t="shared" si="2"/>
        <v>3.98474568655168E-2</v>
      </c>
      <c r="P42" s="5">
        <f t="shared" si="3"/>
        <v>8.308140373918238E-2</v>
      </c>
      <c r="Q42" s="5">
        <f t="shared" si="4"/>
        <v>3.4967646536397057E-2</v>
      </c>
      <c r="R42" s="5">
        <f t="shared" si="5"/>
        <v>3.760114856063724E-3</v>
      </c>
      <c r="S42" s="5">
        <f t="shared" si="6"/>
        <v>5.8842628130162208E-2</v>
      </c>
      <c r="T42" s="5">
        <f t="shared" si="7"/>
        <v>-2.0751311907951851E-2</v>
      </c>
      <c r="U42" s="5">
        <f t="shared" si="8"/>
        <v>3.5601257385744836E-2</v>
      </c>
      <c r="V42" s="5">
        <f t="shared" si="9"/>
        <v>0.10014789905204419</v>
      </c>
      <c r="W42" s="5">
        <f t="shared" si="10"/>
        <v>-9.1313092853298437E-3</v>
      </c>
      <c r="X42" s="5">
        <f t="shared" si="11"/>
        <v>0.14417098736500156</v>
      </c>
      <c r="Y42" s="5">
        <f t="shared" si="12"/>
        <v>6.6414614964861257E-2</v>
      </c>
      <c r="AA42" s="6" t="s">
        <v>3</v>
      </c>
      <c r="AB42" s="13">
        <v>0.32610261573191462</v>
      </c>
      <c r="AC42" s="13">
        <v>0.28948035974478048</v>
      </c>
      <c r="AD42" s="13">
        <v>1</v>
      </c>
      <c r="AE42" s="10">
        <v>0.364202936142696</v>
      </c>
      <c r="AF42" s="10">
        <v>0.47221386111647762</v>
      </c>
      <c r="AG42" s="10">
        <v>0.40812222876758569</v>
      </c>
      <c r="AH42" s="10">
        <v>0.19804313694358719</v>
      </c>
      <c r="AI42" s="10">
        <v>0.21710487666278033</v>
      </c>
      <c r="AJ42" s="10">
        <v>0.38321709774932938</v>
      </c>
      <c r="AK42" s="10">
        <v>0.27733253349955678</v>
      </c>
      <c r="AL42" s="10">
        <v>0.4564076721456039</v>
      </c>
      <c r="AM42" s="12">
        <v>0.28953878068229288</v>
      </c>
    </row>
    <row r="43" spans="1:39" x14ac:dyDescent="0.35">
      <c r="A43" s="3">
        <v>45139</v>
      </c>
      <c r="B43" s="61">
        <v>51.928840637207031</v>
      </c>
      <c r="C43" s="61">
        <v>55.942287445068359</v>
      </c>
      <c r="D43" s="61">
        <v>16.72832107543945</v>
      </c>
      <c r="E43" s="61">
        <v>26.166501998901371</v>
      </c>
      <c r="F43" s="61">
        <v>97.885673522949219</v>
      </c>
      <c r="G43" s="61">
        <v>30.242177963256839</v>
      </c>
      <c r="H43" s="61">
        <v>13.581291198730471</v>
      </c>
      <c r="I43" s="61">
        <v>469.91342163085938</v>
      </c>
      <c r="J43" s="61">
        <v>27.876953125</v>
      </c>
      <c r="K43" s="61">
        <v>399.65362548828119</v>
      </c>
      <c r="L43" s="61">
        <v>58.574455261230469</v>
      </c>
      <c r="M43" s="61">
        <v>53.835880279541023</v>
      </c>
      <c r="N43" s="5">
        <f t="shared" si="1"/>
        <v>-3.0614041890260867E-2</v>
      </c>
      <c r="O43" s="5">
        <f t="shared" si="2"/>
        <v>-5.1649567955437707E-3</v>
      </c>
      <c r="P43" s="5">
        <f t="shared" si="3"/>
        <v>-2.858717542854846E-2</v>
      </c>
      <c r="Q43" s="5">
        <f t="shared" si="4"/>
        <v>-6.9717922397805462E-3</v>
      </c>
      <c r="R43" s="5">
        <f t="shared" si="5"/>
        <v>-3.5774448825646801E-2</v>
      </c>
      <c r="S43" s="5">
        <f t="shared" si="6"/>
        <v>-2.0571045304148071E-2</v>
      </c>
      <c r="T43" s="5">
        <f t="shared" si="7"/>
        <v>-1.4752431206273386E-3</v>
      </c>
      <c r="U43" s="5">
        <f t="shared" si="8"/>
        <v>-5.6149695252430541E-2</v>
      </c>
      <c r="V43" s="5">
        <f t="shared" si="9"/>
        <v>-2.88881411753951E-2</v>
      </c>
      <c r="W43" s="5">
        <f t="shared" si="10"/>
        <v>-4.1115359038901907E-2</v>
      </c>
      <c r="X43" s="5">
        <f t="shared" si="11"/>
        <v>-2.1470378384909571E-2</v>
      </c>
      <c r="Y43" s="5">
        <f t="shared" si="12"/>
        <v>5.0850654404815329E-2</v>
      </c>
      <c r="AA43" s="6" t="s">
        <v>4</v>
      </c>
      <c r="AB43" s="13">
        <v>0.46440991445223806</v>
      </c>
      <c r="AC43" s="13">
        <v>0.79554937563800243</v>
      </c>
      <c r="AD43" s="13">
        <v>0.364202936142696</v>
      </c>
      <c r="AE43" s="13">
        <v>1</v>
      </c>
      <c r="AF43" s="10">
        <v>0.75390944321085973</v>
      </c>
      <c r="AG43" s="10">
        <v>0.69821947353904246</v>
      </c>
      <c r="AH43" s="10">
        <v>0.27217499573549409</v>
      </c>
      <c r="AI43" s="10">
        <v>0.30701612526678984</v>
      </c>
      <c r="AJ43" s="10">
        <v>0.50201090321004194</v>
      </c>
      <c r="AK43" s="10">
        <v>0.4335389403178892</v>
      </c>
      <c r="AL43" s="10">
        <v>0.48113271040949052</v>
      </c>
      <c r="AM43" s="12">
        <v>0.67277078452105599</v>
      </c>
    </row>
    <row r="44" spans="1:39" x14ac:dyDescent="0.35">
      <c r="A44" s="3">
        <v>45170</v>
      </c>
      <c r="B44" s="61">
        <v>50.414287567138672</v>
      </c>
      <c r="C44" s="61">
        <v>56.616859436035163</v>
      </c>
      <c r="D44" s="61">
        <v>15.417131423950201</v>
      </c>
      <c r="E44" s="61">
        <v>26.54804801940918</v>
      </c>
      <c r="F44" s="61">
        <v>99.844146728515625</v>
      </c>
      <c r="G44" s="61">
        <v>31.4177360534668</v>
      </c>
      <c r="H44" s="61">
        <v>13.252931594848629</v>
      </c>
      <c r="I44" s="61">
        <v>410.675048828125</v>
      </c>
      <c r="J44" s="61">
        <v>28.031234741210941</v>
      </c>
      <c r="K44" s="61">
        <v>387.24447631835938</v>
      </c>
      <c r="L44" s="61">
        <v>55.380905151367188</v>
      </c>
      <c r="M44" s="61">
        <v>57.7667236328125</v>
      </c>
      <c r="N44" s="5">
        <f t="shared" si="1"/>
        <v>-2.9165932677942007E-2</v>
      </c>
      <c r="O44" s="5">
        <f t="shared" si="2"/>
        <v>1.2058355526294652E-2</v>
      </c>
      <c r="P44" s="5">
        <f t="shared" si="3"/>
        <v>-7.8381425462615006E-2</v>
      </c>
      <c r="Q44" s="5">
        <f t="shared" si="4"/>
        <v>1.4581468341615878E-2</v>
      </c>
      <c r="R44" s="5">
        <f t="shared" si="5"/>
        <v>2.000776145354145E-2</v>
      </c>
      <c r="S44" s="5">
        <f t="shared" si="6"/>
        <v>3.8871475845364767E-2</v>
      </c>
      <c r="T44" s="5">
        <f t="shared" si="7"/>
        <v>-2.4177348020675317E-2</v>
      </c>
      <c r="U44" s="5">
        <f t="shared" si="8"/>
        <v>-0.12606231291956818</v>
      </c>
      <c r="V44" s="5">
        <f t="shared" si="9"/>
        <v>5.5343787220627633E-3</v>
      </c>
      <c r="W44" s="5">
        <f t="shared" si="10"/>
        <v>-3.1049760038485336E-2</v>
      </c>
      <c r="X44" s="5">
        <f t="shared" si="11"/>
        <v>-5.4521208872036118E-2</v>
      </c>
      <c r="Y44" s="5">
        <f t="shared" si="12"/>
        <v>7.301530750237023E-2</v>
      </c>
      <c r="AA44" s="6" t="s">
        <v>5</v>
      </c>
      <c r="AB44" s="13">
        <v>0.45426338255742443</v>
      </c>
      <c r="AC44" s="13">
        <v>0.7022054968213024</v>
      </c>
      <c r="AD44" s="13">
        <v>0.47221386111647762</v>
      </c>
      <c r="AE44" s="13">
        <v>0.75390944321085973</v>
      </c>
      <c r="AF44" s="13">
        <v>1</v>
      </c>
      <c r="AG44" s="10">
        <v>0.70981704375764754</v>
      </c>
      <c r="AH44" s="10">
        <v>0.37612905821382198</v>
      </c>
      <c r="AI44" s="10">
        <v>0.3043497607553115</v>
      </c>
      <c r="AJ44" s="10">
        <v>0.49567041766456454</v>
      </c>
      <c r="AK44" s="10">
        <v>0.40547121412291265</v>
      </c>
      <c r="AL44" s="10">
        <v>0.62977690032428957</v>
      </c>
      <c r="AM44" s="12">
        <v>0.64943966787132335</v>
      </c>
    </row>
    <row r="45" spans="1:39" x14ac:dyDescent="0.35">
      <c r="A45" s="3">
        <v>45200</v>
      </c>
      <c r="B45" s="61">
        <v>54.166904449462891</v>
      </c>
      <c r="C45" s="61">
        <v>50.864292144775391</v>
      </c>
      <c r="D45" s="61">
        <v>15.69641017913818</v>
      </c>
      <c r="E45" s="61">
        <v>26.336078643798832</v>
      </c>
      <c r="F45" s="61">
        <v>99.330757141113281</v>
      </c>
      <c r="G45" s="61">
        <v>31.484096527099609</v>
      </c>
      <c r="H45" s="61">
        <v>13.68527126312256</v>
      </c>
      <c r="I45" s="61">
        <v>364.36834716796881</v>
      </c>
      <c r="J45" s="61">
        <v>27.018754959106449</v>
      </c>
      <c r="K45" s="61">
        <v>390.1497802734375</v>
      </c>
      <c r="L45" s="61">
        <v>50.045330047607422</v>
      </c>
      <c r="M45" s="61">
        <v>59.287784576416023</v>
      </c>
      <c r="N45" s="5">
        <f t="shared" si="1"/>
        <v>7.4435582915393039E-2</v>
      </c>
      <c r="O45" s="5">
        <f t="shared" si="2"/>
        <v>-0.10160519937985844</v>
      </c>
      <c r="P45" s="5">
        <f t="shared" si="3"/>
        <v>1.8114832617572782E-2</v>
      </c>
      <c r="Q45" s="5">
        <f t="shared" si="4"/>
        <v>-7.9843676437295116E-3</v>
      </c>
      <c r="R45" s="5">
        <f t="shared" si="5"/>
        <v>-5.1419097085209399E-3</v>
      </c>
      <c r="S45" s="5">
        <f t="shared" si="6"/>
        <v>2.1121978209975565E-3</v>
      </c>
      <c r="T45" s="5">
        <f t="shared" si="7"/>
        <v>3.2622191186890311E-2</v>
      </c>
      <c r="U45" s="5">
        <f t="shared" si="8"/>
        <v>-0.11275752396522243</v>
      </c>
      <c r="V45" s="5">
        <f t="shared" si="9"/>
        <v>-3.6119699736807002E-2</v>
      </c>
      <c r="W45" s="5">
        <f t="shared" si="10"/>
        <v>7.502505865802543E-3</v>
      </c>
      <c r="X45" s="5">
        <f t="shared" si="11"/>
        <v>-9.634322677060915E-2</v>
      </c>
      <c r="Y45" s="5">
        <f t="shared" si="12"/>
        <v>2.6331092503566082E-2</v>
      </c>
      <c r="AA45" s="6" t="s">
        <v>6</v>
      </c>
      <c r="AB45" s="13">
        <v>0.43849991737029237</v>
      </c>
      <c r="AC45" s="13">
        <v>0.58692068813458331</v>
      </c>
      <c r="AD45" s="13">
        <v>0.40812222876758569</v>
      </c>
      <c r="AE45" s="13">
        <v>0.69821947353904246</v>
      </c>
      <c r="AF45" s="13">
        <v>0.70981704375764754</v>
      </c>
      <c r="AG45" s="13">
        <v>1</v>
      </c>
      <c r="AH45" s="10">
        <v>0.27629020891912642</v>
      </c>
      <c r="AI45" s="10">
        <v>0.16910787640633679</v>
      </c>
      <c r="AJ45" s="10">
        <v>0.44546955762713547</v>
      </c>
      <c r="AK45" s="10">
        <v>0.3603948543923845</v>
      </c>
      <c r="AL45" s="10">
        <v>0.47910967623813505</v>
      </c>
      <c r="AM45" s="12">
        <v>0.49439812100112668</v>
      </c>
    </row>
    <row r="46" spans="1:39" x14ac:dyDescent="0.35">
      <c r="A46" s="3">
        <v>45231</v>
      </c>
      <c r="B46" s="61">
        <v>56.887310028076172</v>
      </c>
      <c r="C46" s="61">
        <v>54.124702453613281</v>
      </c>
      <c r="D46" s="61">
        <v>16.467977523803711</v>
      </c>
      <c r="E46" s="61">
        <v>26.93901443481445</v>
      </c>
      <c r="F46" s="61">
        <v>106.76535797119141</v>
      </c>
      <c r="G46" s="61">
        <v>33.095748901367188</v>
      </c>
      <c r="H46" s="61">
        <v>14.518938064575201</v>
      </c>
      <c r="I46" s="61">
        <v>374.35232543945313</v>
      </c>
      <c r="J46" s="61">
        <v>29.70905876159668</v>
      </c>
      <c r="K46" s="61">
        <v>424.52117919921881</v>
      </c>
      <c r="L46" s="61">
        <v>58.233680725097663</v>
      </c>
      <c r="M46" s="61">
        <v>58.405971527099609</v>
      </c>
      <c r="N46" s="5">
        <f t="shared" si="1"/>
        <v>5.0222651751336257E-2</v>
      </c>
      <c r="O46" s="5">
        <f t="shared" si="2"/>
        <v>6.4100180526601297E-2</v>
      </c>
      <c r="P46" s="5">
        <f t="shared" si="3"/>
        <v>4.9155656348163441E-2</v>
      </c>
      <c r="Q46" s="5">
        <f t="shared" si="4"/>
        <v>2.2893909118758913E-2</v>
      </c>
      <c r="R46" s="5">
        <f t="shared" si="5"/>
        <v>7.4846915940812081E-2</v>
      </c>
      <c r="S46" s="5">
        <f t="shared" si="6"/>
        <v>5.1189411545615265E-2</v>
      </c>
      <c r="T46" s="5">
        <f t="shared" si="7"/>
        <v>6.091708271060043E-2</v>
      </c>
      <c r="U46" s="5">
        <f t="shared" si="8"/>
        <v>2.7400783709902884E-2</v>
      </c>
      <c r="V46" s="5">
        <f t="shared" si="9"/>
        <v>9.9571716260133822E-2</v>
      </c>
      <c r="W46" s="5">
        <f t="shared" si="10"/>
        <v>8.8097957921934547E-2</v>
      </c>
      <c r="X46" s="5">
        <f t="shared" si="11"/>
        <v>0.16361867670171779</v>
      </c>
      <c r="Y46" s="5">
        <f t="shared" si="12"/>
        <v>-1.4873435659918183E-2</v>
      </c>
      <c r="AA46" s="6" t="s">
        <v>7</v>
      </c>
      <c r="AB46" s="13">
        <v>0.23158324937237684</v>
      </c>
      <c r="AC46" s="13">
        <v>0.36317907155654033</v>
      </c>
      <c r="AD46" s="13">
        <v>0.19804313694358719</v>
      </c>
      <c r="AE46" s="13">
        <v>0.27217499573549409</v>
      </c>
      <c r="AF46" s="13">
        <v>0.37612905821382198</v>
      </c>
      <c r="AG46" s="13">
        <v>0.27629020891912642</v>
      </c>
      <c r="AH46" s="13">
        <v>1</v>
      </c>
      <c r="AI46" s="10">
        <v>0.22641262830905029</v>
      </c>
      <c r="AJ46" s="10">
        <v>0.25636313711284342</v>
      </c>
      <c r="AK46" s="10">
        <v>0.23782847016408717</v>
      </c>
      <c r="AL46" s="10">
        <v>0.36566282018506285</v>
      </c>
      <c r="AM46" s="12">
        <v>0.44658517792157931</v>
      </c>
    </row>
    <row r="47" spans="1:39" x14ac:dyDescent="0.35">
      <c r="A47" s="3">
        <v>45261</v>
      </c>
      <c r="B47" s="61">
        <v>56.607547760009773</v>
      </c>
      <c r="C47" s="61">
        <v>58.640560150146477</v>
      </c>
      <c r="D47" s="61">
        <v>15.682209968566889</v>
      </c>
      <c r="E47" s="61">
        <v>27.782184600830082</v>
      </c>
      <c r="F47" s="61">
        <v>109.166618347168</v>
      </c>
      <c r="G47" s="61">
        <v>32.346805572509773</v>
      </c>
      <c r="H47" s="61">
        <v>14.518938064575201</v>
      </c>
      <c r="I47" s="61">
        <v>379.391845703125</v>
      </c>
      <c r="J47" s="61">
        <v>31.30009841918945</v>
      </c>
      <c r="K47" s="61">
        <v>443.82431030273438</v>
      </c>
      <c r="L47" s="61">
        <v>64.903152465820313</v>
      </c>
      <c r="M47" s="61">
        <v>57.786827087402337</v>
      </c>
      <c r="N47" s="5">
        <f t="shared" si="1"/>
        <v>-4.9178326049926641E-3</v>
      </c>
      <c r="O47" s="5">
        <f t="shared" si="2"/>
        <v>8.3434319115258698E-2</v>
      </c>
      <c r="P47" s="5">
        <f t="shared" si="3"/>
        <v>-4.7714879019055655E-2</v>
      </c>
      <c r="Q47" s="5">
        <f t="shared" si="4"/>
        <v>3.1299220988796346E-2</v>
      </c>
      <c r="R47" s="5">
        <f t="shared" si="5"/>
        <v>2.2491006648659627E-2</v>
      </c>
      <c r="S47" s="5">
        <f t="shared" si="6"/>
        <v>-2.2629593035934471E-2</v>
      </c>
      <c r="T47" s="5">
        <f t="shared" si="7"/>
        <v>0</v>
      </c>
      <c r="U47" s="5">
        <f t="shared" si="8"/>
        <v>1.3461971306725475E-2</v>
      </c>
      <c r="V47" s="5">
        <f t="shared" si="9"/>
        <v>5.3554024392365542E-2</v>
      </c>
      <c r="W47" s="5">
        <f t="shared" si="10"/>
        <v>4.5470360607042924E-2</v>
      </c>
      <c r="X47" s="5">
        <f t="shared" si="11"/>
        <v>0.11452945542300622</v>
      </c>
      <c r="Y47" s="5">
        <f t="shared" si="12"/>
        <v>-1.0600704405884212E-2</v>
      </c>
      <c r="AA47" s="6" t="s">
        <v>8</v>
      </c>
      <c r="AB47" s="13">
        <v>0.14202242745680133</v>
      </c>
      <c r="AC47" s="13">
        <v>0.26976636559764144</v>
      </c>
      <c r="AD47" s="13">
        <v>0.21710487666278033</v>
      </c>
      <c r="AE47" s="13">
        <v>0.30701612526678984</v>
      </c>
      <c r="AF47" s="13">
        <v>0.3043497607553115</v>
      </c>
      <c r="AG47" s="13">
        <v>0.16910787640633679</v>
      </c>
      <c r="AH47" s="13">
        <v>0.22641262830905029</v>
      </c>
      <c r="AI47" s="13">
        <v>1</v>
      </c>
      <c r="AJ47" s="10">
        <v>0.41524300882389137</v>
      </c>
      <c r="AK47" s="10">
        <v>0.59962914607334483</v>
      </c>
      <c r="AL47" s="10">
        <v>0.37730971002179814</v>
      </c>
      <c r="AM47" s="12">
        <v>0.10729278557385924</v>
      </c>
    </row>
    <row r="48" spans="1:39" x14ac:dyDescent="0.35">
      <c r="A48" s="3">
        <v>45292</v>
      </c>
      <c r="B48" s="61">
        <v>59.559478759765618</v>
      </c>
      <c r="C48" s="61">
        <v>58.603084564208977</v>
      </c>
      <c r="D48" s="61">
        <v>14.976912498474119</v>
      </c>
      <c r="E48" s="61">
        <v>29.355470657348629</v>
      </c>
      <c r="F48" s="61">
        <v>112.41184997558589</v>
      </c>
      <c r="G48" s="61">
        <v>32.214080810546882</v>
      </c>
      <c r="H48" s="61">
        <v>13.508322715759279</v>
      </c>
      <c r="I48" s="61">
        <v>364.41583251953119</v>
      </c>
      <c r="J48" s="61">
        <v>29.71870231628418</v>
      </c>
      <c r="K48" s="61">
        <v>437.96444702148438</v>
      </c>
      <c r="L48" s="61">
        <v>64.104751586914063</v>
      </c>
      <c r="M48" s="61">
        <v>56.379684448242188</v>
      </c>
      <c r="N48" s="5">
        <f t="shared" si="1"/>
        <v>5.2147303965024039E-2</v>
      </c>
      <c r="O48" s="5">
        <f t="shared" si="2"/>
        <v>-6.390727824145178E-4</v>
      </c>
      <c r="P48" s="5">
        <f t="shared" si="3"/>
        <v>-4.4974367229265143E-2</v>
      </c>
      <c r="Q48" s="5">
        <f t="shared" si="4"/>
        <v>5.6629314041471764E-2</v>
      </c>
      <c r="R48" s="5">
        <f t="shared" si="5"/>
        <v>2.9727325784678259E-2</v>
      </c>
      <c r="S48" s="5">
        <f t="shared" si="6"/>
        <v>-4.1031798848071713E-3</v>
      </c>
      <c r="T48" s="5">
        <f t="shared" si="7"/>
        <v>-6.9606698804076092E-2</v>
      </c>
      <c r="U48" s="5">
        <f t="shared" si="8"/>
        <v>-3.9473735013568455E-2</v>
      </c>
      <c r="V48" s="5">
        <f t="shared" si="9"/>
        <v>-5.0523678287725395E-2</v>
      </c>
      <c r="W48" s="5">
        <f t="shared" si="10"/>
        <v>-1.3203114712785704E-2</v>
      </c>
      <c r="X48" s="5">
        <f t="shared" si="11"/>
        <v>-1.2301419092496449E-2</v>
      </c>
      <c r="Y48" s="5">
        <f t="shared" si="12"/>
        <v>-2.4350577979162132E-2</v>
      </c>
      <c r="AA48" s="6" t="s">
        <v>9</v>
      </c>
      <c r="AB48" s="13">
        <v>0.29896803926230148</v>
      </c>
      <c r="AC48" s="13">
        <v>0.52488532055653336</v>
      </c>
      <c r="AD48" s="13">
        <v>0.38321709774932938</v>
      </c>
      <c r="AE48" s="13">
        <v>0.50201090321004194</v>
      </c>
      <c r="AF48" s="13">
        <v>0.49567041766456454</v>
      </c>
      <c r="AG48" s="13">
        <v>0.44546955762713547</v>
      </c>
      <c r="AH48" s="13">
        <v>0.25636313711284342</v>
      </c>
      <c r="AI48" s="13">
        <v>0.41524300882389137</v>
      </c>
      <c r="AJ48" s="13">
        <v>1</v>
      </c>
      <c r="AK48" s="10">
        <v>0.4950453849477614</v>
      </c>
      <c r="AL48" s="10">
        <v>0.68724234569791576</v>
      </c>
      <c r="AM48" s="12">
        <v>0.44729230309045931</v>
      </c>
    </row>
    <row r="49" spans="1:39" x14ac:dyDescent="0.35">
      <c r="A49" s="3">
        <v>45323</v>
      </c>
      <c r="B49" s="61">
        <v>56.935543060302727</v>
      </c>
      <c r="C49" s="61">
        <v>51.885513305664063</v>
      </c>
      <c r="D49" s="61">
        <v>14.702366828918461</v>
      </c>
      <c r="E49" s="61">
        <v>30.975864410400391</v>
      </c>
      <c r="F49" s="61">
        <v>113.67922210693359</v>
      </c>
      <c r="G49" s="61">
        <v>34.669479370117188</v>
      </c>
      <c r="H49" s="61">
        <v>13.53203773498535</v>
      </c>
      <c r="I49" s="61">
        <v>409.1829833984375</v>
      </c>
      <c r="J49" s="61">
        <v>32.968280792236328</v>
      </c>
      <c r="K49" s="61">
        <v>435.0098876953125</v>
      </c>
      <c r="L49" s="61">
        <v>69.323486328125</v>
      </c>
      <c r="M49" s="61">
        <v>56.011260986328118</v>
      </c>
      <c r="N49" s="5">
        <f t="shared" si="1"/>
        <v>-4.4055719662131183E-2</v>
      </c>
      <c r="O49" s="5">
        <f t="shared" si="2"/>
        <v>-0.11462828805853641</v>
      </c>
      <c r="P49" s="5">
        <f t="shared" si="3"/>
        <v>-1.8331259502492925E-2</v>
      </c>
      <c r="Q49" s="5">
        <f t="shared" si="4"/>
        <v>5.5199038433612173E-2</v>
      </c>
      <c r="R49" s="5">
        <f t="shared" si="5"/>
        <v>1.1274364149535412E-2</v>
      </c>
      <c r="S49" s="5">
        <f t="shared" si="6"/>
        <v>7.6221282674823629E-2</v>
      </c>
      <c r="T49" s="5">
        <f t="shared" si="7"/>
        <v>1.7555857766415293E-3</v>
      </c>
      <c r="U49" s="5">
        <f t="shared" si="8"/>
        <v>0.12284633894578928</v>
      </c>
      <c r="V49" s="5">
        <f t="shared" si="9"/>
        <v>0.10934456159519328</v>
      </c>
      <c r="W49" s="5">
        <f t="shared" si="10"/>
        <v>-6.746116828124496E-3</v>
      </c>
      <c r="X49" s="5">
        <f t="shared" si="11"/>
        <v>8.1409483884128442E-2</v>
      </c>
      <c r="Y49" s="5">
        <f t="shared" si="12"/>
        <v>-6.5346847099204781E-3</v>
      </c>
      <c r="AA49" s="6" t="s">
        <v>10</v>
      </c>
      <c r="AB49" s="13">
        <v>0.28177226253777254</v>
      </c>
      <c r="AC49" s="13">
        <v>0.40502090856543649</v>
      </c>
      <c r="AD49" s="13">
        <v>0.27733253349955678</v>
      </c>
      <c r="AE49" s="13">
        <v>0.4335389403178892</v>
      </c>
      <c r="AF49" s="13">
        <v>0.40547121412291265</v>
      </c>
      <c r="AG49" s="13">
        <v>0.3603948543923845</v>
      </c>
      <c r="AH49" s="13">
        <v>0.23782847016408717</v>
      </c>
      <c r="AI49" s="13">
        <v>0.59962914607334483</v>
      </c>
      <c r="AJ49" s="13">
        <v>0.4950453849477614</v>
      </c>
      <c r="AK49" s="13">
        <v>1</v>
      </c>
      <c r="AL49" s="10">
        <v>0.40852507797078469</v>
      </c>
      <c r="AM49" s="12">
        <v>8.0229232831183342E-2</v>
      </c>
    </row>
    <row r="50" spans="1:39" x14ac:dyDescent="0.35">
      <c r="A50" s="3">
        <v>45352</v>
      </c>
      <c r="B50" s="61">
        <v>57.774814605712891</v>
      </c>
      <c r="C50" s="61">
        <v>61.7042236328125</v>
      </c>
      <c r="D50" s="61">
        <v>15.02898120880127</v>
      </c>
      <c r="E50" s="61">
        <v>32.798801422119141</v>
      </c>
      <c r="F50" s="61">
        <v>114.0248641967773</v>
      </c>
      <c r="G50" s="61">
        <v>35.864002227783203</v>
      </c>
      <c r="H50" s="61">
        <v>14.146798133850099</v>
      </c>
      <c r="I50" s="61">
        <v>352.67425537109381</v>
      </c>
      <c r="J50" s="61">
        <v>34.250755310058587</v>
      </c>
      <c r="K50" s="61">
        <v>432.00607299804688</v>
      </c>
      <c r="L50" s="61">
        <v>70.034255981445313</v>
      </c>
      <c r="M50" s="61">
        <v>60.265033721923828</v>
      </c>
      <c r="N50" s="5">
        <f t="shared" si="1"/>
        <v>1.4740731365664802E-2</v>
      </c>
      <c r="O50" s="5">
        <f t="shared" si="2"/>
        <v>0.18923799152386109</v>
      </c>
      <c r="P50" s="5">
        <f t="shared" si="3"/>
        <v>2.2215088474080432E-2</v>
      </c>
      <c r="Q50" s="5">
        <f t="shared" si="4"/>
        <v>5.88502386105062E-2</v>
      </c>
      <c r="R50" s="5">
        <f t="shared" si="5"/>
        <v>3.0405036508657263E-3</v>
      </c>
      <c r="S50" s="5">
        <f t="shared" si="6"/>
        <v>3.4454594628139004E-2</v>
      </c>
      <c r="T50" s="5">
        <f t="shared" si="7"/>
        <v>4.5429994425404636E-2</v>
      </c>
      <c r="U50" s="5">
        <f t="shared" si="8"/>
        <v>-0.13810136374199836</v>
      </c>
      <c r="V50" s="5">
        <f t="shared" si="9"/>
        <v>3.8900254638824461E-2</v>
      </c>
      <c r="W50" s="5">
        <f t="shared" si="10"/>
        <v>-6.9051641864507282E-3</v>
      </c>
      <c r="X50" s="5">
        <f t="shared" si="11"/>
        <v>1.0252941549362737E-2</v>
      </c>
      <c r="Y50" s="5">
        <f t="shared" si="12"/>
        <v>7.5944955722993285E-2</v>
      </c>
      <c r="AA50" s="6" t="s">
        <v>11</v>
      </c>
      <c r="AB50" s="13">
        <v>0.34814986325991659</v>
      </c>
      <c r="AC50" s="13">
        <v>0.53901629302265819</v>
      </c>
      <c r="AD50" s="13">
        <v>0.4564076721456039</v>
      </c>
      <c r="AE50" s="13">
        <v>0.48113271040949052</v>
      </c>
      <c r="AF50" s="13">
        <v>0.62977690032428957</v>
      </c>
      <c r="AG50" s="13">
        <v>0.47910967623813505</v>
      </c>
      <c r="AH50" s="13">
        <v>0.36566282018506285</v>
      </c>
      <c r="AI50" s="13">
        <v>0.37730971002179814</v>
      </c>
      <c r="AJ50" s="13">
        <v>0.68724234569791576</v>
      </c>
      <c r="AK50" s="13">
        <v>0.40852507797078469</v>
      </c>
      <c r="AL50" s="13">
        <v>1</v>
      </c>
      <c r="AM50" s="12">
        <v>0.3374556138024527</v>
      </c>
    </row>
    <row r="51" spans="1:39" ht="15" thickBot="1" x14ac:dyDescent="0.4">
      <c r="A51" s="3">
        <v>45383</v>
      </c>
      <c r="B51" s="61">
        <v>56.5882568359375</v>
      </c>
      <c r="C51" s="61">
        <v>63.343799591064453</v>
      </c>
      <c r="D51" s="61">
        <v>14.94851112365723</v>
      </c>
      <c r="E51" s="61">
        <v>30.561344146728519</v>
      </c>
      <c r="F51" s="61">
        <v>105.8541793823242</v>
      </c>
      <c r="G51" s="61">
        <v>32.81134033203125</v>
      </c>
      <c r="H51" s="61">
        <v>14.840000152587891</v>
      </c>
      <c r="I51" s="61">
        <v>317.68118286132813</v>
      </c>
      <c r="J51" s="61">
        <v>34.887172698974609</v>
      </c>
      <c r="K51" s="61">
        <v>432.99090576171881</v>
      </c>
      <c r="L51" s="61">
        <v>72.692306518554688</v>
      </c>
      <c r="M51" s="61">
        <v>65.884735107421875</v>
      </c>
      <c r="N51" s="5">
        <f t="shared" si="1"/>
        <v>-2.0537630070699722E-2</v>
      </c>
      <c r="O51" s="5">
        <f t="shared" si="2"/>
        <v>2.6571535329715658E-2</v>
      </c>
      <c r="P51" s="5">
        <f t="shared" si="3"/>
        <v>-5.3543273510059707E-3</v>
      </c>
      <c r="Q51" s="5">
        <f t="shared" si="4"/>
        <v>-6.8217653645163551E-2</v>
      </c>
      <c r="R51" s="5">
        <f t="shared" si="5"/>
        <v>-7.1657044908666728E-2</v>
      </c>
      <c r="S51" s="5">
        <f t="shared" si="6"/>
        <v>-8.5117714313187015E-2</v>
      </c>
      <c r="T51" s="5">
        <f t="shared" si="7"/>
        <v>4.9000629837158347E-2</v>
      </c>
      <c r="U51" s="5">
        <f t="shared" si="8"/>
        <v>-9.9222078098513272E-2</v>
      </c>
      <c r="V51" s="5">
        <f t="shared" si="9"/>
        <v>1.8581119836768183E-2</v>
      </c>
      <c r="W51" s="5">
        <f t="shared" si="10"/>
        <v>2.279673424119629E-3</v>
      </c>
      <c r="X51" s="5">
        <f t="shared" si="11"/>
        <v>3.7953577143927851E-2</v>
      </c>
      <c r="Y51" s="5">
        <f t="shared" si="12"/>
        <v>9.32497841356663E-2</v>
      </c>
      <c r="AA51" s="6" t="s">
        <v>12</v>
      </c>
      <c r="AB51" s="14">
        <v>0.30669657457761124</v>
      </c>
      <c r="AC51" s="15">
        <v>0.71743987180223368</v>
      </c>
      <c r="AD51" s="15">
        <v>0.28953878068229288</v>
      </c>
      <c r="AE51" s="15">
        <v>0.67277078452105599</v>
      </c>
      <c r="AF51" s="15">
        <v>0.64943966787132335</v>
      </c>
      <c r="AG51" s="15">
        <v>0.49439812100112668</v>
      </c>
      <c r="AH51" s="15">
        <v>0.44658517792157931</v>
      </c>
      <c r="AI51" s="15">
        <v>0.10729278557385924</v>
      </c>
      <c r="AJ51" s="15">
        <v>0.44729230309045931</v>
      </c>
      <c r="AK51" s="15">
        <v>8.0229232831183342E-2</v>
      </c>
      <c r="AL51" s="15">
        <v>0.3374556138024527</v>
      </c>
      <c r="AM51" s="15">
        <v>1</v>
      </c>
    </row>
    <row r="52" spans="1:39" x14ac:dyDescent="0.35">
      <c r="A52" s="3">
        <v>45413</v>
      </c>
      <c r="B52" s="61">
        <v>57.032009124755859</v>
      </c>
      <c r="C52" s="61">
        <v>63.428115844726563</v>
      </c>
      <c r="D52" s="61">
        <v>14.191144943237299</v>
      </c>
      <c r="E52" s="61">
        <v>33.049999237060547</v>
      </c>
      <c r="F52" s="61">
        <v>113.3300323486328</v>
      </c>
      <c r="G52" s="61">
        <v>36</v>
      </c>
      <c r="H52" s="61">
        <v>14.169600486755369</v>
      </c>
      <c r="I52" s="61">
        <v>305.3590087890625</v>
      </c>
      <c r="J52" s="61">
        <v>35.822513580322273</v>
      </c>
      <c r="K52" s="61">
        <v>452.10000610351563</v>
      </c>
      <c r="L52" s="61">
        <v>78.456283569335938</v>
      </c>
      <c r="M52" s="61">
        <v>64.367050170898438</v>
      </c>
      <c r="N52" s="5">
        <f t="shared" si="1"/>
        <v>7.8417734284500114E-3</v>
      </c>
      <c r="O52" s="5">
        <f t="shared" si="2"/>
        <v>1.331089296923126E-3</v>
      </c>
      <c r="P52" s="5">
        <f t="shared" si="3"/>
        <v>-5.0664990924837817E-2</v>
      </c>
      <c r="Q52" s="5">
        <f t="shared" si="4"/>
        <v>8.1431467097249036E-2</v>
      </c>
      <c r="R52" s="5">
        <f t="shared" si="5"/>
        <v>7.0624069922712279E-2</v>
      </c>
      <c r="S52" s="5">
        <f t="shared" si="6"/>
        <v>9.7181634023523894E-2</v>
      </c>
      <c r="T52" s="5">
        <f t="shared" si="7"/>
        <v>-4.5175179173809706E-2</v>
      </c>
      <c r="U52" s="5">
        <f t="shared" si="8"/>
        <v>-3.878786260262828E-2</v>
      </c>
      <c r="V52" s="5">
        <f t="shared" si="9"/>
        <v>2.6810452352166517E-2</v>
      </c>
      <c r="W52" s="5">
        <f t="shared" si="10"/>
        <v>4.4132798374090641E-2</v>
      </c>
      <c r="X52" s="5">
        <f t="shared" si="11"/>
        <v>7.9292807269913723E-2</v>
      </c>
      <c r="Y52" s="5">
        <f t="shared" si="12"/>
        <v>-2.3035456301811422E-2</v>
      </c>
    </row>
    <row r="53" spans="1:39" x14ac:dyDescent="0.35">
      <c r="A53" s="3">
        <v>45444</v>
      </c>
      <c r="B53" s="61">
        <v>57.080001831054688</v>
      </c>
      <c r="C53" s="61">
        <v>59.529998779296882</v>
      </c>
      <c r="D53" s="61">
        <v>13.19999980926514</v>
      </c>
      <c r="E53" s="61">
        <v>30.569999694824219</v>
      </c>
      <c r="F53" s="61">
        <v>97.417282104492188</v>
      </c>
      <c r="G53" s="61">
        <v>29.969999313354489</v>
      </c>
      <c r="H53" s="61">
        <v>13.335000038146971</v>
      </c>
      <c r="I53" s="61">
        <v>335.52285766601563</v>
      </c>
      <c r="J53" s="61">
        <v>36.110000610351563</v>
      </c>
      <c r="K53" s="61">
        <v>410.04998779296881</v>
      </c>
      <c r="L53" s="61">
        <v>70.706069946289063</v>
      </c>
      <c r="M53" s="61">
        <v>59.871631622314453</v>
      </c>
      <c r="N53" s="5">
        <f t="shared" si="1"/>
        <v>8.4150474506071633E-4</v>
      </c>
      <c r="O53" s="5">
        <f t="shared" si="2"/>
        <v>-6.1457242005617155E-2</v>
      </c>
      <c r="P53" s="5">
        <f t="shared" si="3"/>
        <v>-6.984250657269786E-2</v>
      </c>
      <c r="Q53" s="5">
        <f t="shared" si="4"/>
        <v>-7.5037809364164404E-2</v>
      </c>
      <c r="R53" s="5">
        <f t="shared" si="5"/>
        <v>-0.14041070945068498</v>
      </c>
      <c r="S53" s="5">
        <f t="shared" si="6"/>
        <v>-0.16750001907348644</v>
      </c>
      <c r="T53" s="5">
        <f t="shared" si="7"/>
        <v>-5.8900774894007593E-2</v>
      </c>
      <c r="U53" s="5">
        <f t="shared" si="8"/>
        <v>9.8781591532443924E-2</v>
      </c>
      <c r="V53" s="5">
        <f t="shared" si="9"/>
        <v>8.0253170784534162E-3</v>
      </c>
      <c r="W53" s="5">
        <f t="shared" si="10"/>
        <v>-9.3010435175527928E-2</v>
      </c>
      <c r="X53" s="5">
        <f t="shared" si="11"/>
        <v>-9.8783848411550162E-2</v>
      </c>
      <c r="Y53" s="5">
        <f t="shared" si="12"/>
        <v>-6.9840369205181441E-2</v>
      </c>
    </row>
    <row r="54" spans="1:39" x14ac:dyDescent="0.35">
      <c r="A54" s="3">
        <v>45474</v>
      </c>
      <c r="B54" s="61">
        <v>60.159999847412109</v>
      </c>
      <c r="C54" s="61">
        <v>63.459999084472663</v>
      </c>
      <c r="D54" s="61">
        <v>13.80000019073486</v>
      </c>
      <c r="E54" s="61">
        <v>32.490001678466797</v>
      </c>
      <c r="F54" s="61">
        <v>104.56663513183589</v>
      </c>
      <c r="G54" s="61">
        <v>31.940000534057621</v>
      </c>
      <c r="H54" s="61">
        <v>14.539999961853029</v>
      </c>
      <c r="I54" s="61">
        <v>281.997802734375</v>
      </c>
      <c r="J54" s="61">
        <v>36.599998474121087</v>
      </c>
      <c r="K54" s="61">
        <v>400.64999389648438</v>
      </c>
      <c r="L54" s="61">
        <v>79.44000244140625</v>
      </c>
      <c r="M54" s="61">
        <v>60.779571533203118</v>
      </c>
      <c r="N54" s="5">
        <f t="shared" si="1"/>
        <v>5.3959318807900461E-2</v>
      </c>
      <c r="O54" s="5">
        <f t="shared" si="2"/>
        <v>6.6017140698187649E-2</v>
      </c>
      <c r="P54" s="5">
        <f t="shared" si="3"/>
        <v>4.5454575010567537E-2</v>
      </c>
      <c r="Q54" s="5">
        <f t="shared" si="4"/>
        <v>6.2806738724555888E-2</v>
      </c>
      <c r="R54" s="5">
        <f t="shared" si="5"/>
        <v>7.3388960078717189E-2</v>
      </c>
      <c r="S54" s="5">
        <f t="shared" si="6"/>
        <v>6.5732441302569833E-2</v>
      </c>
      <c r="T54" s="5">
        <f t="shared" si="7"/>
        <v>9.0363698557102121E-2</v>
      </c>
      <c r="U54" s="5">
        <f t="shared" si="8"/>
        <v>-0.15952729809222194</v>
      </c>
      <c r="V54" s="5">
        <f t="shared" si="9"/>
        <v>1.3569588908537922E-2</v>
      </c>
      <c r="W54" s="5">
        <f t="shared" si="10"/>
        <v>-2.2924019452063536E-2</v>
      </c>
      <c r="X54" s="5">
        <f t="shared" si="11"/>
        <v>0.12352450789234651</v>
      </c>
      <c r="Y54" s="5">
        <f t="shared" si="12"/>
        <v>1.516477647738384E-2</v>
      </c>
    </row>
    <row r="55" spans="1:39" x14ac:dyDescent="0.35">
      <c r="A55" s="3">
        <v>45505</v>
      </c>
      <c r="B55" s="61">
        <v>62.799999237060547</v>
      </c>
      <c r="C55" s="61">
        <v>62.580001831054688</v>
      </c>
      <c r="D55" s="61">
        <v>14.579999923706049</v>
      </c>
      <c r="E55" s="61">
        <v>34.400001525878913</v>
      </c>
      <c r="F55" s="61">
        <v>107.091682434082</v>
      </c>
      <c r="G55" s="61">
        <v>32.409999847412109</v>
      </c>
      <c r="H55" s="61">
        <v>15.930000305175779</v>
      </c>
      <c r="I55" s="61">
        <v>256.72207641601563</v>
      </c>
      <c r="J55" s="61">
        <v>35.509998321533203</v>
      </c>
      <c r="K55" s="61">
        <v>396.60000610351563</v>
      </c>
      <c r="L55" s="61">
        <v>79.080001831054688</v>
      </c>
      <c r="M55" s="61">
        <v>60.497463226318359</v>
      </c>
      <c r="N55" s="5">
        <f t="shared" si="1"/>
        <v>4.3882968689236156E-2</v>
      </c>
      <c r="O55" s="5">
        <f t="shared" si="2"/>
        <v>-1.3866959755965278E-2</v>
      </c>
      <c r="P55" s="5">
        <f t="shared" si="3"/>
        <v>5.6521718999313589E-2</v>
      </c>
      <c r="Q55" s="5">
        <f t="shared" si="4"/>
        <v>5.8787311441661008E-2</v>
      </c>
      <c r="R55" s="5">
        <f t="shared" si="5"/>
        <v>2.4147734112918234E-2</v>
      </c>
      <c r="S55" s="5">
        <f t="shared" si="6"/>
        <v>1.4715069051214585E-2</v>
      </c>
      <c r="T55" s="5">
        <f t="shared" si="7"/>
        <v>9.5598373244122334E-2</v>
      </c>
      <c r="U55" s="5">
        <f t="shared" si="8"/>
        <v>-8.9630933550810643E-2</v>
      </c>
      <c r="V55" s="5">
        <f t="shared" si="9"/>
        <v>-2.9781426175703108E-2</v>
      </c>
      <c r="W55" s="5">
        <f t="shared" si="10"/>
        <v>-1.0108543253878452E-2</v>
      </c>
      <c r="X55" s="5">
        <f t="shared" si="11"/>
        <v>-4.531729598285115E-3</v>
      </c>
      <c r="Y55" s="5">
        <f t="shared" si="12"/>
        <v>-4.6414987761249074E-3</v>
      </c>
    </row>
    <row r="56" spans="1:39" x14ac:dyDescent="0.35">
      <c r="A56" s="3">
        <v>45536</v>
      </c>
      <c r="B56" s="61">
        <v>65.339996337890625</v>
      </c>
      <c r="C56" s="61">
        <v>61.549999237060547</v>
      </c>
      <c r="D56" s="61">
        <v>15.310000419616699</v>
      </c>
      <c r="E56" s="61">
        <v>34.529998779296882</v>
      </c>
      <c r="F56" s="61">
        <v>103.92299652099609</v>
      </c>
      <c r="G56" s="61">
        <v>30.059999465942379</v>
      </c>
      <c r="H56" s="61">
        <v>15.51500034332275</v>
      </c>
      <c r="I56" s="61">
        <v>254.59098815917969</v>
      </c>
      <c r="J56" s="61">
        <v>36.459999084472663</v>
      </c>
      <c r="K56" s="61">
        <v>402.04998779296881</v>
      </c>
      <c r="L56" s="61">
        <v>81.720001220703125</v>
      </c>
      <c r="M56" s="61">
        <v>56.907890319824219</v>
      </c>
      <c r="N56" s="5">
        <f t="shared" si="1"/>
        <v>4.0445814198850086E-2</v>
      </c>
      <c r="O56" s="5">
        <f t="shared" si="2"/>
        <v>-1.6458973535584211E-2</v>
      </c>
      <c r="P56" s="5">
        <f t="shared" si="3"/>
        <v>5.0068621380698411E-2</v>
      </c>
      <c r="Q56" s="5">
        <f t="shared" si="4"/>
        <v>3.7789897573165107E-3</v>
      </c>
      <c r="R56" s="5">
        <f t="shared" si="5"/>
        <v>-2.9588534245283953E-2</v>
      </c>
      <c r="S56" s="5">
        <f t="shared" si="6"/>
        <v>-7.2508497146980835E-2</v>
      </c>
      <c r="T56" s="5">
        <f t="shared" si="7"/>
        <v>-2.6051472310279395E-2</v>
      </c>
      <c r="U56" s="5">
        <f t="shared" si="8"/>
        <v>-8.3011491905453805E-3</v>
      </c>
      <c r="V56" s="5">
        <f t="shared" si="9"/>
        <v>2.6753050065997368E-2</v>
      </c>
      <c r="W56" s="5">
        <f t="shared" si="10"/>
        <v>1.3741758965154163E-2</v>
      </c>
      <c r="X56" s="5">
        <f t="shared" si="11"/>
        <v>3.338390653162214E-2</v>
      </c>
      <c r="Y56" s="5">
        <f t="shared" si="12"/>
        <v>-5.933427147293277E-2</v>
      </c>
    </row>
    <row r="57" spans="1:39" x14ac:dyDescent="0.35">
      <c r="A57" s="3">
        <v>45566</v>
      </c>
      <c r="B57" s="61">
        <v>65.699996948242188</v>
      </c>
      <c r="C57" s="61">
        <v>62.75</v>
      </c>
      <c r="D57" s="61">
        <v>14.534999847412109</v>
      </c>
      <c r="E57" s="61">
        <v>34.520000457763672</v>
      </c>
      <c r="F57" s="61">
        <v>101.69500732421881</v>
      </c>
      <c r="G57" s="61">
        <v>29.430000305175781</v>
      </c>
      <c r="H57" s="61">
        <v>15.414999961853029</v>
      </c>
      <c r="I57" s="61">
        <v>226.8372497558594</v>
      </c>
      <c r="J57" s="61">
        <v>31.04999923706055</v>
      </c>
      <c r="K57" s="61">
        <v>344.25</v>
      </c>
      <c r="L57" s="61">
        <v>82.980003356933594</v>
      </c>
      <c r="M57" s="61">
        <v>56.550346374511719</v>
      </c>
      <c r="N57" s="5">
        <f t="shared" si="1"/>
        <v>5.5096515232401135E-3</v>
      </c>
      <c r="O57" s="5">
        <f t="shared" si="2"/>
        <v>1.9496357072526289E-2</v>
      </c>
      <c r="P57" s="5">
        <f t="shared" si="3"/>
        <v>-5.0620545458090374E-2</v>
      </c>
      <c r="Q57" s="5">
        <f t="shared" si="4"/>
        <v>-2.8955464484999965E-4</v>
      </c>
      <c r="R57" s="5">
        <f t="shared" si="5"/>
        <v>-2.1438846755416206E-2</v>
      </c>
      <c r="S57" s="5">
        <f t="shared" si="6"/>
        <v>-2.0958056286074774E-2</v>
      </c>
      <c r="T57" s="5">
        <f t="shared" si="7"/>
        <v>-6.4453998876486509E-3</v>
      </c>
      <c r="U57" s="5">
        <f t="shared" si="8"/>
        <v>-0.10901304325024899</v>
      </c>
      <c r="V57" s="5">
        <f t="shared" si="9"/>
        <v>-0.14838178780196642</v>
      </c>
      <c r="W57" s="5">
        <f t="shared" si="10"/>
        <v>-0.14376318753361653</v>
      </c>
      <c r="X57" s="5">
        <f t="shared" si="11"/>
        <v>1.5418528113179434E-2</v>
      </c>
      <c r="Y57" s="5">
        <f t="shared" si="12"/>
        <v>-6.2828536307195934E-3</v>
      </c>
    </row>
    <row r="58" spans="1:39" x14ac:dyDescent="0.35">
      <c r="A58" s="3">
        <v>45597</v>
      </c>
      <c r="B58" s="61">
        <v>64.660003662109375</v>
      </c>
      <c r="C58" s="61">
        <v>56.639999389648438</v>
      </c>
      <c r="D58" s="61">
        <v>14.39999961853027</v>
      </c>
      <c r="E58" s="61">
        <v>32.979999542236328</v>
      </c>
      <c r="F58" s="61">
        <v>99.860000610351563</v>
      </c>
      <c r="G58" s="61">
        <v>28.159999847412109</v>
      </c>
      <c r="H58" s="61">
        <v>15.085000038146971</v>
      </c>
      <c r="I58" s="61">
        <v>218.80848693847659</v>
      </c>
      <c r="J58" s="61">
        <v>30.75</v>
      </c>
      <c r="K58" s="61">
        <v>328.64999389648438</v>
      </c>
      <c r="L58" s="61">
        <v>86.339996337890625</v>
      </c>
      <c r="M58" s="61">
        <v>54.156314849853523</v>
      </c>
      <c r="N58" s="5">
        <f t="shared" si="1"/>
        <v>-1.5829426703811097E-2</v>
      </c>
      <c r="O58" s="5">
        <f t="shared" si="2"/>
        <v>-9.7370527655004979E-2</v>
      </c>
      <c r="P58" s="5">
        <f t="shared" si="3"/>
        <v>-9.2879415410434749E-3</v>
      </c>
      <c r="Q58" s="5">
        <f t="shared" si="4"/>
        <v>-4.4611845165285678E-2</v>
      </c>
      <c r="R58" s="5">
        <f t="shared" si="5"/>
        <v>-1.8044216349943021E-2</v>
      </c>
      <c r="S58" s="5">
        <f t="shared" si="6"/>
        <v>-4.3153260094948763E-2</v>
      </c>
      <c r="T58" s="5">
        <f t="shared" si="7"/>
        <v>-2.1407714857132516E-2</v>
      </c>
      <c r="U58" s="5">
        <f t="shared" si="8"/>
        <v>-3.5394375597588214E-2</v>
      </c>
      <c r="V58" s="5">
        <f t="shared" si="9"/>
        <v>-9.6618114148768926E-3</v>
      </c>
      <c r="W58" s="5">
        <f t="shared" si="10"/>
        <v>-4.5315921869326432E-2</v>
      </c>
      <c r="X58" s="5">
        <f t="shared" si="11"/>
        <v>4.0491598518069702E-2</v>
      </c>
      <c r="Y58" s="5">
        <f t="shared" si="12"/>
        <v>-4.2334515668629571E-2</v>
      </c>
    </row>
    <row r="59" spans="1:39" x14ac:dyDescent="0.35">
      <c r="A59" s="3">
        <v>45627</v>
      </c>
      <c r="B59" s="61">
        <v>65.120002746582031</v>
      </c>
      <c r="C59" s="61">
        <v>59.220001220703118</v>
      </c>
      <c r="D59" s="61">
        <v>13.72999954223633</v>
      </c>
      <c r="E59" s="61">
        <v>34.319999694824219</v>
      </c>
      <c r="F59" s="61">
        <v>99.739997863769531</v>
      </c>
      <c r="G59" s="61">
        <v>28.54000091552734</v>
      </c>
      <c r="H59" s="61">
        <v>15.310000419616699</v>
      </c>
      <c r="I59" s="61">
        <v>236.1545715332031</v>
      </c>
      <c r="J59" s="61">
        <v>31.79999923706055</v>
      </c>
      <c r="K59" s="61">
        <v>341.85000610351563</v>
      </c>
      <c r="L59" s="61">
        <v>85.699996948242188</v>
      </c>
      <c r="M59" s="61">
        <v>52.579998016357422</v>
      </c>
      <c r="N59" s="5">
        <f t="shared" si="1"/>
        <v>7.1141209158671103E-3</v>
      </c>
      <c r="O59" s="5">
        <f t="shared" si="2"/>
        <v>4.5550880276425343E-2</v>
      </c>
      <c r="P59" s="5">
        <f t="shared" si="3"/>
        <v>-4.6527784308533424E-2</v>
      </c>
      <c r="Q59" s="5">
        <f t="shared" si="4"/>
        <v>4.0630690454431309E-2</v>
      </c>
      <c r="R59" s="5">
        <f t="shared" si="5"/>
        <v>-1.201709852278848E-3</v>
      </c>
      <c r="S59" s="5">
        <f t="shared" si="6"/>
        <v>1.3494356185167122E-2</v>
      </c>
      <c r="T59" s="5">
        <f t="shared" si="7"/>
        <v>1.4915504202900035E-2</v>
      </c>
      <c r="U59" s="5">
        <f t="shared" si="8"/>
        <v>7.9275191001178053E-2</v>
      </c>
      <c r="V59" s="5">
        <f t="shared" si="9"/>
        <v>3.4146316652375622E-2</v>
      </c>
      <c r="W59" s="5">
        <f t="shared" si="10"/>
        <v>4.0164346423778995E-2</v>
      </c>
      <c r="X59" s="5">
        <f t="shared" si="11"/>
        <v>-7.4125482602965019E-3</v>
      </c>
      <c r="Y59" s="5">
        <f t="shared" si="12"/>
        <v>-2.9106796462543359E-2</v>
      </c>
    </row>
    <row r="60" spans="1:39" x14ac:dyDescent="0.35">
      <c r="A60" s="3">
        <v>45658</v>
      </c>
      <c r="B60" s="61">
        <v>67.480003356933594</v>
      </c>
      <c r="C60" s="61">
        <v>65.720001220703125</v>
      </c>
      <c r="D60" s="61">
        <v>13.689999580383301</v>
      </c>
      <c r="E60" s="61">
        <v>36.650001525878913</v>
      </c>
      <c r="F60" s="61">
        <v>104.5</v>
      </c>
      <c r="G60" s="61">
        <v>30.629999160766602</v>
      </c>
      <c r="H60" s="61">
        <v>15.914999961853029</v>
      </c>
      <c r="I60" s="61">
        <v>251.22088623046881</v>
      </c>
      <c r="J60" s="61">
        <v>33.599998474121087</v>
      </c>
      <c r="K60" s="61">
        <v>358.5</v>
      </c>
      <c r="L60" s="61">
        <v>90.580001831054688</v>
      </c>
      <c r="M60" s="61">
        <v>55.555294036865227</v>
      </c>
      <c r="N60" s="5">
        <f t="shared" si="1"/>
        <v>3.6240794084970038E-2</v>
      </c>
      <c r="O60" s="5">
        <f t="shared" si="2"/>
        <v>0.10976021388070537</v>
      </c>
      <c r="P60" s="5">
        <f t="shared" si="3"/>
        <v>-2.9133257965508978E-3</v>
      </c>
      <c r="Q60" s="5">
        <f t="shared" si="4"/>
        <v>6.7890496846539333E-2</v>
      </c>
      <c r="R60" s="5">
        <f t="shared" si="5"/>
        <v>4.7724105054944413E-2</v>
      </c>
      <c r="S60" s="5">
        <f t="shared" si="6"/>
        <v>7.323048977556923E-2</v>
      </c>
      <c r="T60" s="5">
        <f t="shared" si="7"/>
        <v>3.9516624797811511E-2</v>
      </c>
      <c r="U60" s="5">
        <f t="shared" si="8"/>
        <v>6.3798530765039205E-2</v>
      </c>
      <c r="V60" s="5">
        <f t="shared" si="9"/>
        <v>5.6603750951124868E-2</v>
      </c>
      <c r="W60" s="5">
        <f t="shared" si="10"/>
        <v>4.870555389559534E-2</v>
      </c>
      <c r="X60" s="5">
        <f t="shared" si="11"/>
        <v>5.6942882807332409E-2</v>
      </c>
      <c r="Y60" s="5">
        <f t="shared" si="12"/>
        <v>5.6586080881596897E-2</v>
      </c>
    </row>
    <row r="61" spans="1:39" x14ac:dyDescent="0.35">
      <c r="A61" s="3">
        <v>45689</v>
      </c>
      <c r="B61" s="61">
        <v>67.680000305175781</v>
      </c>
      <c r="C61" s="61">
        <v>70.129997253417969</v>
      </c>
      <c r="D61" s="61">
        <v>13.77000045776367</v>
      </c>
      <c r="E61" s="61">
        <v>37.020000457763672</v>
      </c>
      <c r="F61" s="61">
        <v>109</v>
      </c>
      <c r="G61" s="61">
        <v>32.069999694824219</v>
      </c>
      <c r="H61" s="61">
        <v>15.664999961853029</v>
      </c>
      <c r="I61" s="61">
        <v>269.79998779296881</v>
      </c>
      <c r="J61" s="61">
        <v>33.459999084472663</v>
      </c>
      <c r="K61" s="61">
        <v>337.20001220703119</v>
      </c>
      <c r="L61" s="61">
        <v>95.05999755859375</v>
      </c>
      <c r="M61" s="61">
        <v>59.139999389648438</v>
      </c>
      <c r="N61" s="5">
        <f t="shared" si="1"/>
        <v>2.9637957660480427E-3</v>
      </c>
      <c r="O61" s="5">
        <f t="shared" si="2"/>
        <v>6.7102799007946551E-2</v>
      </c>
      <c r="P61" s="5">
        <f t="shared" si="3"/>
        <v>5.843745787618892E-3</v>
      </c>
      <c r="Q61" s="5">
        <f t="shared" si="4"/>
        <v>1.0095468389639732E-2</v>
      </c>
      <c r="R61" s="5">
        <f t="shared" si="5"/>
        <v>4.3062200956937802E-2</v>
      </c>
      <c r="S61" s="5">
        <f t="shared" si="6"/>
        <v>4.7012751338958152E-2</v>
      </c>
      <c r="T61" s="5">
        <f t="shared" si="7"/>
        <v>-1.5708451184368824E-2</v>
      </c>
      <c r="U61" s="5">
        <f t="shared" si="8"/>
        <v>7.3955242501038007E-2</v>
      </c>
      <c r="V61" s="5">
        <f t="shared" si="9"/>
        <v>-4.1666486906614484E-3</v>
      </c>
      <c r="W61" s="5">
        <f t="shared" si="10"/>
        <v>-5.9414191891126379E-2</v>
      </c>
      <c r="X61" s="5">
        <f t="shared" si="11"/>
        <v>4.9458993563446019E-2</v>
      </c>
      <c r="Y61" s="5">
        <f t="shared" si="12"/>
        <v>6.4525000090981097E-2</v>
      </c>
    </row>
  </sheetData>
  <mergeCells count="4">
    <mergeCell ref="AA21:AM21"/>
    <mergeCell ref="AA4:AM4"/>
    <mergeCell ref="AA38:AM38"/>
    <mergeCell ref="AE6:AE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5230-4F13-4560-AE52-814C454D5344}">
  <sheetPr codeName="Feuil2"/>
  <dimension ref="A2:M69"/>
  <sheetViews>
    <sheetView topLeftCell="A3" zoomScale="55" workbookViewId="0">
      <selection activeCell="B4" sqref="B4:M4"/>
    </sheetView>
  </sheetViews>
  <sheetFormatPr baseColWidth="10" defaultColWidth="10.7265625" defaultRowHeight="14.5" x14ac:dyDescent="0.35"/>
  <cols>
    <col min="2" max="2" width="12.26953125" customWidth="1"/>
    <col min="3" max="3" width="11.81640625" customWidth="1"/>
    <col min="4" max="4" width="15.453125" customWidth="1"/>
  </cols>
  <sheetData>
    <row r="2" spans="1:13" x14ac:dyDescent="0.35">
      <c r="A2" s="18" t="s">
        <v>29</v>
      </c>
    </row>
    <row r="3" spans="1:13" ht="15" thickBot="1" x14ac:dyDescent="0.4">
      <c r="B3" s="8" t="s">
        <v>1</v>
      </c>
      <c r="C3" s="8" t="s">
        <v>2</v>
      </c>
      <c r="D3" s="8" t="s">
        <v>3</v>
      </c>
      <c r="E3" s="8" t="s">
        <v>4</v>
      </c>
      <c r="F3" s="8" t="s">
        <v>5</v>
      </c>
      <c r="G3" s="8" t="s">
        <v>6</v>
      </c>
      <c r="H3" s="8" t="s">
        <v>7</v>
      </c>
      <c r="I3" s="8" t="s">
        <v>8</v>
      </c>
      <c r="J3" s="8" t="s">
        <v>9</v>
      </c>
      <c r="K3" s="8" t="s">
        <v>10</v>
      </c>
      <c r="L3" s="8" t="s">
        <v>11</v>
      </c>
      <c r="M3" s="8" t="s">
        <v>12</v>
      </c>
    </row>
    <row r="4" spans="1:13" ht="15" thickBot="1" x14ac:dyDescent="0.4">
      <c r="A4" s="18" t="s">
        <v>36</v>
      </c>
      <c r="B4" s="70">
        <f>1/12</f>
        <v>8.3333333333333329E-2</v>
      </c>
      <c r="C4" s="70">
        <f t="shared" ref="C4:M4" si="0">1/12</f>
        <v>8.3333333333333329E-2</v>
      </c>
      <c r="D4" s="70">
        <f t="shared" si="0"/>
        <v>8.3333333333333329E-2</v>
      </c>
      <c r="E4" s="70">
        <f t="shared" si="0"/>
        <v>8.3333333333333329E-2</v>
      </c>
      <c r="F4" s="70">
        <f t="shared" si="0"/>
        <v>8.3333333333333329E-2</v>
      </c>
      <c r="G4" s="70">
        <f t="shared" si="0"/>
        <v>8.3333333333333329E-2</v>
      </c>
      <c r="H4" s="70">
        <f t="shared" si="0"/>
        <v>8.3333333333333329E-2</v>
      </c>
      <c r="I4" s="70">
        <f t="shared" si="0"/>
        <v>8.3333333333333329E-2</v>
      </c>
      <c r="J4" s="70">
        <f t="shared" si="0"/>
        <v>8.3333333333333329E-2</v>
      </c>
      <c r="K4" s="70">
        <f t="shared" si="0"/>
        <v>8.3333333333333329E-2</v>
      </c>
      <c r="L4" s="70">
        <f t="shared" si="0"/>
        <v>8.3333333333333329E-2</v>
      </c>
      <c r="M4" s="70">
        <f t="shared" si="0"/>
        <v>8.3333333333333329E-2</v>
      </c>
    </row>
    <row r="5" spans="1:13" x14ac:dyDescent="0.35">
      <c r="A5" s="18" t="s">
        <v>39</v>
      </c>
      <c r="B5" s="29">
        <f>SUM(B4:M4)</f>
        <v>1</v>
      </c>
      <c r="C5" s="28"/>
    </row>
    <row r="9" spans="1:13" ht="14.5" customHeight="1" x14ac:dyDescent="0.35">
      <c r="A9" s="2" t="s">
        <v>0</v>
      </c>
      <c r="B9" s="1" t="s">
        <v>37</v>
      </c>
    </row>
    <row r="10" spans="1:13" ht="15" customHeight="1" x14ac:dyDescent="0.35">
      <c r="A10" s="3">
        <v>43891</v>
      </c>
      <c r="B10" s="27" t="s">
        <v>38</v>
      </c>
    </row>
    <row r="11" spans="1:13" ht="14.5" customHeight="1" x14ac:dyDescent="0.35">
      <c r="A11" s="3">
        <v>43922</v>
      </c>
      <c r="B11" s="26">
        <f>Data!$N3*$B$4+Data!$O3*$C$4+Data!P3*$D$4+Data!Q3*$E$4+Data!R3*$F$4+Data!S3*$G$4+Data!T3*$H$4+Data!U3*$I$4+Data!V3*$J$4+Data!W3*$K$4+Data!X3*$L$4+Data!Y3*$M$4</f>
        <v>3.2945941692978764E-2</v>
      </c>
    </row>
    <row r="12" spans="1:13" ht="15" customHeight="1" x14ac:dyDescent="0.35">
      <c r="A12" s="3">
        <v>43952</v>
      </c>
      <c r="B12" s="26">
        <f>Data!$N4*$B$4+Data!$O4*$C$4+Data!P4*$D$4+Data!Q4*$E$4+Data!R4*$F$4+Data!S4*$G$4+Data!T4*$H$4+Data!U4*$I$4+Data!V4*$J$4+Data!W4*$K$4+Data!X4*$L$4+Data!Y4*$M$4</f>
        <v>4.6392272180407736E-2</v>
      </c>
    </row>
    <row r="13" spans="1:13" ht="14.5" customHeight="1" x14ac:dyDescent="0.35">
      <c r="A13" s="3">
        <v>43983</v>
      </c>
      <c r="B13" s="26">
        <f>Data!$N5*$B$4+Data!$O5*$C$4+Data!P5*$D$4+Data!Q5*$E$4+Data!R5*$F$4+Data!S5*$G$4+Data!T5*$H$4+Data!U5*$I$4+Data!V5*$J$4+Data!W5*$K$4+Data!X5*$L$4+Data!Y5*$M$4</f>
        <v>6.4214140828608587E-2</v>
      </c>
    </row>
    <row r="14" spans="1:13" x14ac:dyDescent="0.35">
      <c r="A14" s="3">
        <v>44013</v>
      </c>
      <c r="B14" s="26">
        <f>Data!$N6*$B$4+Data!$O6*$C$4+Data!P6*$D$4+Data!Q6*$E$4+Data!R6*$F$4+Data!S6*$G$4+Data!T6*$H$4+Data!U6*$I$4+Data!V6*$J$4+Data!W6*$K$4+Data!X6*$L$4+Data!Y6*$M$4</f>
        <v>-3.6431366849952261E-2</v>
      </c>
    </row>
    <row r="15" spans="1:13" x14ac:dyDescent="0.35">
      <c r="A15" s="3">
        <v>44044</v>
      </c>
      <c r="B15" s="26">
        <f>Data!$N7*$B$4+Data!$O7*$C$4+Data!P7*$D$4+Data!Q7*$E$4+Data!R7*$F$4+Data!S7*$G$4+Data!T7*$H$4+Data!U7*$I$4+Data!V7*$J$4+Data!W7*$K$4+Data!X7*$L$4+Data!Y7*$M$4</f>
        <v>5.436934875311026E-2</v>
      </c>
    </row>
    <row r="16" spans="1:13" x14ac:dyDescent="0.35">
      <c r="A16" s="3">
        <v>44075</v>
      </c>
      <c r="B16" s="26">
        <f>Data!$N8*$B$4+Data!$O8*$C$4+Data!P8*$D$4+Data!Q8*$E$4+Data!R8*$F$4+Data!S8*$G$4+Data!T8*$H$4+Data!U8*$I$4+Data!V8*$J$4+Data!W8*$K$4+Data!X8*$L$4+Data!Y8*$M$4</f>
        <v>-3.4499510000590969E-2</v>
      </c>
    </row>
    <row r="17" spans="1:2" x14ac:dyDescent="0.35">
      <c r="A17" s="3">
        <v>44105</v>
      </c>
      <c r="B17" s="26">
        <f>Data!$N9*$B$4+Data!$O9*$C$4+Data!P9*$D$4+Data!Q9*$E$4+Data!R9*$F$4+Data!S9*$G$4+Data!T9*$H$4+Data!U9*$I$4+Data!V9*$J$4+Data!W9*$K$4+Data!X9*$L$4+Data!Y9*$M$4</f>
        <v>-5.8987163773243631E-2</v>
      </c>
    </row>
    <row r="18" spans="1:2" x14ac:dyDescent="0.35">
      <c r="A18" s="3">
        <v>44136</v>
      </c>
      <c r="B18" s="26">
        <f>Data!$N10*$B$4+Data!$O10*$C$4+Data!P10*$D$4+Data!Q10*$E$4+Data!R10*$F$4+Data!S10*$G$4+Data!T10*$H$4+Data!U10*$I$4+Data!V10*$J$4+Data!W10*$K$4+Data!X10*$L$4+Data!Y10*$M$4</f>
        <v>0.22036481081416071</v>
      </c>
    </row>
    <row r="19" spans="1:2" x14ac:dyDescent="0.35">
      <c r="A19" s="3">
        <v>44166</v>
      </c>
      <c r="B19" s="26">
        <f>Data!$N11*$B$4+Data!$O11*$C$4+Data!P11*$D$4+Data!Q11*$E$4+Data!R11*$F$4+Data!S11*$G$4+Data!T11*$H$4+Data!U11*$I$4+Data!V11*$J$4+Data!W11*$K$4+Data!X11*$L$4+Data!Y11*$M$4</f>
        <v>-7.3094388049143172E-3</v>
      </c>
    </row>
    <row r="20" spans="1:2" x14ac:dyDescent="0.35">
      <c r="A20" s="3">
        <v>44197</v>
      </c>
      <c r="B20" s="26">
        <f>Data!$N12*$B$4+Data!$O12*$C$4+Data!P12*$D$4+Data!Q12*$E$4+Data!R12*$F$4+Data!S12*$G$4+Data!T12*$H$4+Data!U12*$I$4+Data!V12*$J$4+Data!W12*$K$4+Data!X12*$L$4+Data!Y12*$M$4</f>
        <v>-1.4773603006260419E-2</v>
      </c>
    </row>
    <row r="21" spans="1:2" x14ac:dyDescent="0.35">
      <c r="A21" s="3">
        <v>44228</v>
      </c>
      <c r="B21" s="26">
        <f>Data!$N13*$B$4+Data!$O13*$C$4+Data!P13*$D$4+Data!Q13*$E$4+Data!R13*$F$4+Data!S13*$G$4+Data!T13*$H$4+Data!U13*$I$4+Data!V13*$J$4+Data!W13*$K$4+Data!X13*$L$4+Data!Y13*$M$4</f>
        <v>6.7255897331163883E-2</v>
      </c>
    </row>
    <row r="22" spans="1:2" x14ac:dyDescent="0.35">
      <c r="A22" s="3">
        <v>44256</v>
      </c>
      <c r="B22" s="26">
        <f>Data!$N14*$B$4+Data!$O14*$C$4+Data!P14*$D$4+Data!Q14*$E$4+Data!R14*$F$4+Data!S14*$G$4+Data!T14*$H$4+Data!U14*$I$4+Data!V14*$J$4+Data!W14*$K$4+Data!X14*$L$4+Data!Y14*$M$4</f>
        <v>6.0844040363723741E-2</v>
      </c>
    </row>
    <row r="23" spans="1:2" x14ac:dyDescent="0.35">
      <c r="A23" s="3">
        <v>44287</v>
      </c>
      <c r="B23" s="26">
        <f>Data!$N15*$B$4+Data!$O15*$C$4+Data!P15*$D$4+Data!Q15*$E$4+Data!R15*$F$4+Data!S15*$G$4+Data!T15*$H$4+Data!U15*$I$4+Data!V15*$J$4+Data!W15*$K$4+Data!X15*$L$4+Data!Y15*$M$4</f>
        <v>2.6486377956210009E-2</v>
      </c>
    </row>
    <row r="24" spans="1:2" x14ac:dyDescent="0.35">
      <c r="A24" s="3">
        <v>44317</v>
      </c>
      <c r="B24" s="26">
        <f>Data!$N16*$B$4+Data!$O16*$C$4+Data!P16*$D$4+Data!Q16*$E$4+Data!R16*$F$4+Data!S16*$G$4+Data!T16*$H$4+Data!U16*$I$4+Data!V16*$J$4+Data!W16*$K$4+Data!X16*$L$4+Data!Y16*$M$4</f>
        <v>2.7433121129935324E-2</v>
      </c>
    </row>
    <row r="25" spans="1:2" x14ac:dyDescent="0.35">
      <c r="A25" s="3">
        <v>44348</v>
      </c>
      <c r="B25" s="26">
        <f>Data!$N17*$B$4+Data!$O17*$C$4+Data!P17*$D$4+Data!Q17*$E$4+Data!R17*$F$4+Data!S17*$G$4+Data!T17*$H$4+Data!U17*$I$4+Data!V17*$J$4+Data!W17*$K$4+Data!X17*$L$4+Data!Y17*$M$4</f>
        <v>9.0304278730214647E-3</v>
      </c>
    </row>
    <row r="26" spans="1:2" x14ac:dyDescent="0.35">
      <c r="A26" s="3">
        <v>44378</v>
      </c>
      <c r="B26" s="26">
        <f>Data!$N18*$B$4+Data!$O18*$C$4+Data!P18*$D$4+Data!Q18*$E$4+Data!R18*$F$4+Data!S18*$G$4+Data!T18*$H$4+Data!U18*$I$4+Data!V18*$J$4+Data!W18*$K$4+Data!X18*$L$4+Data!Y18*$M$4</f>
        <v>1.3129327942347639E-2</v>
      </c>
    </row>
    <row r="27" spans="1:2" x14ac:dyDescent="0.35">
      <c r="A27" s="3">
        <v>44409</v>
      </c>
      <c r="B27" s="26">
        <f>Data!$N19*$B$4+Data!$O19*$C$4+Data!P19*$D$4+Data!Q19*$E$4+Data!R19*$F$4+Data!S19*$G$4+Data!T19*$H$4+Data!U19*$I$4+Data!V19*$J$4+Data!W19*$K$4+Data!X19*$L$4+Data!Y19*$M$4</f>
        <v>2.8469518053844779E-2</v>
      </c>
    </row>
    <row r="28" spans="1:2" x14ac:dyDescent="0.35">
      <c r="A28" s="3">
        <v>44440</v>
      </c>
      <c r="B28" s="26">
        <f>Data!$N20*$B$4+Data!$O20*$C$4+Data!P20*$D$4+Data!Q20*$E$4+Data!R20*$F$4+Data!S20*$G$4+Data!T20*$H$4+Data!U20*$I$4+Data!V20*$J$4+Data!W20*$K$4+Data!X20*$L$4+Data!Y20*$M$4</f>
        <v>-2.4954038965404185E-2</v>
      </c>
    </row>
    <row r="29" spans="1:2" x14ac:dyDescent="0.35">
      <c r="A29" s="3">
        <v>44470</v>
      </c>
      <c r="B29" s="26">
        <f>Data!$N21*$B$4+Data!$O21*$C$4+Data!P21*$D$4+Data!Q21*$E$4+Data!R21*$F$4+Data!S21*$G$4+Data!T21*$H$4+Data!U21*$I$4+Data!V21*$J$4+Data!W21*$K$4+Data!X21*$L$4+Data!Y21*$M$4</f>
        <v>3.6240195219757042E-2</v>
      </c>
    </row>
    <row r="30" spans="1:2" x14ac:dyDescent="0.35">
      <c r="A30" s="3">
        <v>44501</v>
      </c>
      <c r="B30" s="26">
        <f>Data!$N22*$B$4+Data!$O22*$C$4+Data!P22*$D$4+Data!Q22*$E$4+Data!R22*$F$4+Data!S22*$G$4+Data!T22*$H$4+Data!U22*$I$4+Data!V22*$J$4+Data!W22*$K$4+Data!X22*$L$4+Data!Y22*$M$4</f>
        <v>-4.3516272063650885E-2</v>
      </c>
    </row>
    <row r="31" spans="1:2" x14ac:dyDescent="0.35">
      <c r="A31" s="3">
        <v>44531</v>
      </c>
      <c r="B31" s="26">
        <f>Data!$N23*$B$4+Data!$O23*$C$4+Data!P23*$D$4+Data!Q23*$E$4+Data!R23*$F$4+Data!S23*$G$4+Data!T23*$H$4+Data!U23*$I$4+Data!V23*$J$4+Data!W23*$K$4+Data!X23*$L$4+Data!Y23*$M$4</f>
        <v>7.5588431691916924E-2</v>
      </c>
    </row>
    <row r="32" spans="1:2" x14ac:dyDescent="0.35">
      <c r="A32" s="3">
        <v>44562</v>
      </c>
      <c r="B32" s="26">
        <f>Data!$N24*$B$4+Data!$O24*$C$4+Data!P24*$D$4+Data!Q24*$E$4+Data!R24*$F$4+Data!S24*$G$4+Data!T24*$H$4+Data!U24*$I$4+Data!V24*$J$4+Data!W24*$K$4+Data!X24*$L$4+Data!Y24*$M$4</f>
        <v>1.5463195788734624E-2</v>
      </c>
    </row>
    <row r="33" spans="1:2" x14ac:dyDescent="0.35">
      <c r="A33" s="3">
        <v>44593</v>
      </c>
      <c r="B33" s="26">
        <f>Data!$N25*$B$4+Data!$O25*$C$4+Data!P25*$D$4+Data!Q25*$E$4+Data!R25*$F$4+Data!S25*$G$4+Data!T25*$H$4+Data!U25*$I$4+Data!V25*$J$4+Data!W25*$K$4+Data!X25*$L$4+Data!Y25*$M$4</f>
        <v>-4.8634164240724101E-2</v>
      </c>
    </row>
    <row r="34" spans="1:2" x14ac:dyDescent="0.35">
      <c r="A34" s="3">
        <v>44621</v>
      </c>
      <c r="B34" s="26">
        <f>Data!$N26*$B$4+Data!$O26*$C$4+Data!P26*$D$4+Data!Q26*$E$4+Data!R26*$F$4+Data!S26*$G$4+Data!T26*$H$4+Data!U26*$I$4+Data!V26*$J$4+Data!W26*$K$4+Data!X26*$L$4+Data!Y26*$M$4</f>
        <v>-1.5855681340235687E-2</v>
      </c>
    </row>
    <row r="35" spans="1:2" x14ac:dyDescent="0.35">
      <c r="A35" s="3">
        <v>44652</v>
      </c>
      <c r="B35" s="26">
        <f>Data!$N27*$B$4+Data!$O27*$C$4+Data!P27*$D$4+Data!Q27*$E$4+Data!R27*$F$4+Data!S27*$G$4+Data!T27*$H$4+Data!U27*$I$4+Data!V27*$J$4+Data!W27*$K$4+Data!X27*$L$4+Data!Y27*$M$4</f>
        <v>-1.9216178359493779E-3</v>
      </c>
    </row>
    <row r="36" spans="1:2" x14ac:dyDescent="0.35">
      <c r="A36" s="3">
        <v>44682</v>
      </c>
      <c r="B36" s="26">
        <f>Data!$N28*$B$4+Data!$O28*$C$4+Data!P28*$D$4+Data!Q28*$E$4+Data!R28*$F$4+Data!S28*$G$4+Data!T28*$H$4+Data!U28*$I$4+Data!V28*$J$4+Data!W28*$K$4+Data!X28*$L$4+Data!Y28*$M$4</f>
        <v>1.3559102900296351E-2</v>
      </c>
    </row>
    <row r="37" spans="1:2" x14ac:dyDescent="0.35">
      <c r="A37" s="3">
        <v>44713</v>
      </c>
      <c r="B37" s="26">
        <f>Data!$N29*$B$4+Data!$O29*$C$4+Data!P29*$D$4+Data!Q29*$E$4+Data!R29*$F$4+Data!S29*$G$4+Data!T29*$H$4+Data!U29*$I$4+Data!V29*$J$4+Data!W29*$K$4+Data!X29*$L$4+Data!Y29*$M$4</f>
        <v>-7.4398362691600647E-2</v>
      </c>
    </row>
    <row r="38" spans="1:2" x14ac:dyDescent="0.35">
      <c r="A38" s="3">
        <v>44743</v>
      </c>
      <c r="B38" s="26">
        <f>Data!$N30*$B$4+Data!$O30*$C$4+Data!P30*$D$4+Data!Q30*$E$4+Data!R30*$F$4+Data!S30*$G$4+Data!T30*$H$4+Data!U30*$I$4+Data!V30*$J$4+Data!W30*$K$4+Data!X30*$L$4+Data!Y30*$M$4</f>
        <v>5.9784502746172662E-2</v>
      </c>
    </row>
    <row r="39" spans="1:2" x14ac:dyDescent="0.35">
      <c r="A39" s="3">
        <v>44774</v>
      </c>
      <c r="B39" s="26">
        <f>Data!$N31*$B$4+Data!$O31*$C$4+Data!P31*$D$4+Data!Q31*$E$4+Data!R31*$F$4+Data!S31*$G$4+Data!T31*$H$4+Data!U31*$I$4+Data!V31*$J$4+Data!W31*$K$4+Data!X31*$L$4+Data!Y31*$M$4</f>
        <v>-3.0098595746910126E-2</v>
      </c>
    </row>
    <row r="40" spans="1:2" x14ac:dyDescent="0.35">
      <c r="A40" s="3">
        <v>44805</v>
      </c>
      <c r="B40" s="26">
        <f>Data!$N32*$B$4+Data!$O32*$C$4+Data!P32*$D$4+Data!Q32*$E$4+Data!R32*$F$4+Data!S32*$G$4+Data!T32*$H$4+Data!U32*$I$4+Data!V32*$J$4+Data!W32*$K$4+Data!X32*$L$4+Data!Y32*$M$4</f>
        <v>-6.7881423846417904E-2</v>
      </c>
    </row>
    <row r="41" spans="1:2" x14ac:dyDescent="0.35">
      <c r="A41" s="3">
        <v>44835</v>
      </c>
      <c r="B41" s="26">
        <f>Data!$N33*$B$4+Data!$O33*$C$4+Data!P33*$D$4+Data!Q33*$E$4+Data!R33*$F$4+Data!S33*$G$4+Data!T33*$H$4+Data!U33*$I$4+Data!V33*$J$4+Data!W33*$K$4+Data!X33*$L$4+Data!Y33*$M$4</f>
        <v>8.7884020658200904E-2</v>
      </c>
    </row>
    <row r="42" spans="1:2" x14ac:dyDescent="0.35">
      <c r="A42" s="3">
        <v>44866</v>
      </c>
      <c r="B42" s="26">
        <f>Data!$N34*$B$4+Data!$O34*$C$4+Data!P34*$D$4+Data!Q34*$E$4+Data!R34*$F$4+Data!S34*$G$4+Data!T34*$H$4+Data!U34*$I$4+Data!V34*$J$4+Data!W34*$K$4+Data!X34*$L$4+Data!Y34*$M$4</f>
        <v>7.493005764636558E-2</v>
      </c>
    </row>
    <row r="43" spans="1:2" x14ac:dyDescent="0.35">
      <c r="A43" s="3">
        <v>44896</v>
      </c>
      <c r="B43" s="26">
        <f>Data!$N35*$B$4+Data!$O35*$C$4+Data!P35*$D$4+Data!Q35*$E$4+Data!R35*$F$4+Data!S35*$G$4+Data!T35*$H$4+Data!U35*$I$4+Data!V35*$J$4+Data!W35*$K$4+Data!X35*$L$4+Data!Y35*$M$4</f>
        <v>-4.0902061716660915E-2</v>
      </c>
    </row>
    <row r="44" spans="1:2" x14ac:dyDescent="0.35">
      <c r="A44" s="3">
        <v>44927</v>
      </c>
      <c r="B44" s="26">
        <f>Data!$N36*$B$4+Data!$O36*$C$4+Data!P36*$D$4+Data!Q36*$E$4+Data!R36*$F$4+Data!S36*$G$4+Data!T36*$H$4+Data!U36*$I$4+Data!V36*$J$4+Data!W36*$K$4+Data!X36*$L$4+Data!Y36*$M$4</f>
        <v>9.7263504798119904E-2</v>
      </c>
    </row>
    <row r="45" spans="1:2" x14ac:dyDescent="0.35">
      <c r="A45" s="3">
        <v>44958</v>
      </c>
      <c r="B45" s="26">
        <f>Data!$N37*$B$4+Data!$O37*$C$4+Data!P37*$D$4+Data!Q37*$E$4+Data!R37*$F$4+Data!S37*$G$4+Data!T37*$H$4+Data!U37*$I$4+Data!V37*$J$4+Data!W37*$K$4+Data!X37*$L$4+Data!Y37*$M$4</f>
        <v>4.1553074814670542E-2</v>
      </c>
    </row>
    <row r="46" spans="1:2" x14ac:dyDescent="0.35">
      <c r="A46" s="3">
        <v>44986</v>
      </c>
      <c r="B46" s="26">
        <f>Data!$N38*$B$4+Data!$O38*$C$4+Data!P38*$D$4+Data!Q38*$E$4+Data!R38*$F$4+Data!S38*$G$4+Data!T38*$H$4+Data!U38*$I$4+Data!V38*$J$4+Data!W38*$K$4+Data!X38*$L$4+Data!Y38*$M$4</f>
        <v>-1.3726231701773591E-2</v>
      </c>
    </row>
    <row r="47" spans="1:2" x14ac:dyDescent="0.35">
      <c r="A47" s="3">
        <v>45017</v>
      </c>
      <c r="B47" s="26">
        <f>Data!$N39*$B$4+Data!$O39*$C$4+Data!P39*$D$4+Data!Q39*$E$4+Data!R39*$F$4+Data!S39*$G$4+Data!T39*$H$4+Data!U39*$I$4+Data!V39*$J$4+Data!W39*$K$4+Data!X39*$L$4+Data!Y39*$M$4</f>
        <v>3.4953213954397336E-2</v>
      </c>
    </row>
    <row r="48" spans="1:2" x14ac:dyDescent="0.35">
      <c r="A48" s="3">
        <v>45047</v>
      </c>
      <c r="B48" s="26">
        <f>Data!$N40*$B$4+Data!$O40*$C$4+Data!P40*$D$4+Data!Q40*$E$4+Data!R40*$F$4+Data!S40*$G$4+Data!T40*$H$4+Data!U40*$I$4+Data!V40*$J$4+Data!W40*$K$4+Data!X40*$L$4+Data!Y40*$M$4</f>
        <v>-6.4779056889757339E-2</v>
      </c>
    </row>
    <row r="49" spans="1:2" x14ac:dyDescent="0.35">
      <c r="A49" s="3">
        <v>45078</v>
      </c>
      <c r="B49" s="26">
        <f>Data!$N41*$B$4+Data!$O41*$C$4+Data!P41*$D$4+Data!Q41*$E$4+Data!R41*$F$4+Data!S41*$G$4+Data!T41*$H$4+Data!U41*$I$4+Data!V41*$J$4+Data!W41*$K$4+Data!X41*$L$4+Data!Y41*$M$4</f>
        <v>5.7841179299855265E-2</v>
      </c>
    </row>
    <row r="50" spans="1:2" x14ac:dyDescent="0.35">
      <c r="A50" s="3">
        <v>45108</v>
      </c>
      <c r="B50" s="26">
        <f>Data!$N42*$B$4+Data!$O42*$C$4+Data!P42*$D$4+Data!Q42*$E$4+Data!R42*$F$4+Data!S42*$G$4+Data!T42*$H$4+Data!U42*$I$4+Data!V42*$J$4+Data!W42*$K$4+Data!X42*$L$4+Data!Y42*$M$4</f>
        <v>4.3840470118105511E-2</v>
      </c>
    </row>
    <row r="51" spans="1:2" x14ac:dyDescent="0.35">
      <c r="A51" s="3">
        <v>45139</v>
      </c>
      <c r="B51" s="26">
        <f>Data!$N43*$B$4+Data!$O43*$C$4+Data!P43*$D$4+Data!Q43*$E$4+Data!R43*$F$4+Data!S43*$G$4+Data!T43*$H$4+Data!U43*$I$4+Data!V43*$J$4+Data!W43*$K$4+Data!X43*$L$4+Data!Y43*$M$4</f>
        <v>-1.8827635254281473E-2</v>
      </c>
    </row>
    <row r="52" spans="1:2" x14ac:dyDescent="0.35">
      <c r="A52" s="3">
        <v>45170</v>
      </c>
      <c r="B52" s="26">
        <f>Data!$N44*$B$4+Data!$O44*$C$4+Data!P44*$D$4+Data!Q44*$E$4+Data!R44*$F$4+Data!S44*$G$4+Data!T44*$H$4+Data!U44*$I$4+Data!V44*$J$4+Data!W44*$K$4+Data!X44*$L$4+Data!Y44*$M$4</f>
        <v>-1.4940770050006017E-2</v>
      </c>
    </row>
    <row r="53" spans="1:2" x14ac:dyDescent="0.35">
      <c r="A53" s="3">
        <v>45200</v>
      </c>
      <c r="B53" s="26">
        <f>Data!$N45*$B$4+Data!$O45*$C$4+Data!P45*$D$4+Data!Q45*$E$4+Data!R45*$F$4+Data!S45*$G$4+Data!T45*$H$4+Data!U45*$I$4+Data!V45*$J$4+Data!W45*$K$4+Data!X45*$L$4+Data!Y45*$M$4</f>
        <v>-1.6569460357877097E-2</v>
      </c>
    </row>
    <row r="54" spans="1:2" x14ac:dyDescent="0.35">
      <c r="A54" s="3">
        <v>45231</v>
      </c>
      <c r="B54" s="26">
        <f>Data!$N46*$B$4+Data!$O46*$C$4+Data!P46*$D$4+Data!Q46*$E$4+Data!R46*$F$4+Data!S46*$G$4+Data!T46*$H$4+Data!U46*$I$4+Data!V46*$J$4+Data!W46*$K$4+Data!X46*$L$4+Data!Y46*$M$4</f>
        <v>6.142845890630487E-2</v>
      </c>
    </row>
    <row r="55" spans="1:2" x14ac:dyDescent="0.35">
      <c r="A55" s="3">
        <v>45261</v>
      </c>
      <c r="B55" s="26">
        <f>Data!$N47*$B$4+Data!$O47*$C$4+Data!P47*$D$4+Data!Q47*$E$4+Data!R47*$F$4+Data!S47*$G$4+Data!T47*$H$4+Data!U47*$I$4+Data!V47*$J$4+Data!W47*$K$4+Data!X47*$L$4+Data!Y47*$M$4</f>
        <v>2.3198112451332319E-2</v>
      </c>
    </row>
    <row r="56" spans="1:2" x14ac:dyDescent="0.35">
      <c r="A56" s="3">
        <v>45292</v>
      </c>
      <c r="B56" s="26">
        <f>Data!$N48*$B$4+Data!$O48*$C$4+Data!P48*$D$4+Data!Q48*$E$4+Data!R48*$F$4+Data!S48*$G$4+Data!T48*$H$4+Data!U48*$I$4+Data!V48*$J$4+Data!W48*$K$4+Data!X48*$L$4+Data!Y48*$M$4</f>
        <v>-1.0055991666260582E-2</v>
      </c>
    </row>
    <row r="57" spans="1:2" x14ac:dyDescent="0.35">
      <c r="A57" s="3">
        <v>45323</v>
      </c>
      <c r="B57" s="26">
        <f>Data!$N49*$B$4+Data!$O49*$C$4+Data!P49*$D$4+Data!Q49*$E$4+Data!R49*$F$4+Data!S49*$G$4+Data!T49*$H$4+Data!U49*$I$4+Data!V49*$J$4+Data!W49*$K$4+Data!X49*$L$4+Data!Y49*$M$4</f>
        <v>2.2312882224876519E-2</v>
      </c>
    </row>
    <row r="58" spans="1:2" x14ac:dyDescent="0.35">
      <c r="A58" s="3">
        <v>45352</v>
      </c>
      <c r="B58" s="26">
        <f>Data!$N50*$B$4+Data!$O50*$C$4+Data!P50*$D$4+Data!Q50*$E$4+Data!R50*$F$4+Data!S50*$G$4+Data!T50*$H$4+Data!U50*$I$4+Data!V50*$J$4+Data!W50*$K$4+Data!X50*$L$4+Data!Y50*$M$4</f>
        <v>2.9005063888437769E-2</v>
      </c>
    </row>
    <row r="59" spans="1:2" x14ac:dyDescent="0.35">
      <c r="A59" s="3">
        <v>45383</v>
      </c>
      <c r="B59" s="26">
        <f>Data!$N51*$B$4+Data!$O51*$C$4+Data!P51*$D$4+Data!Q51*$E$4+Data!R51*$F$4+Data!S51*$G$4+Data!T51*$H$4+Data!U51*$I$4+Data!V51*$J$4+Data!W51*$K$4+Data!X51*$L$4+Data!Y51*$M$4</f>
        <v>-1.0205844056656694E-2</v>
      </c>
    </row>
    <row r="60" spans="1:2" x14ac:dyDescent="0.35">
      <c r="A60" s="3">
        <v>45413</v>
      </c>
      <c r="B60" s="26">
        <f>Data!$N52*$B$4+Data!$O52*$C$4+Data!P52*$D$4+Data!Q52*$E$4+Data!R52*$F$4+Data!S52*$G$4+Data!T52*$H$4+Data!U52*$I$4+Data!V52*$J$4+Data!W52*$K$4+Data!X52*$L$4+Data!Y52*$M$4</f>
        <v>2.0915216896828504E-2</v>
      </c>
    </row>
    <row r="61" spans="1:2" x14ac:dyDescent="0.35">
      <c r="A61" s="3">
        <v>45444</v>
      </c>
      <c r="B61" s="26">
        <f>Data!$N53*$B$4+Data!$O53*$C$4+Data!P53*$D$4+Data!Q53*$E$4+Data!R53*$F$4+Data!S53*$G$4+Data!T53*$H$4+Data!U53*$I$4+Data!V53*$J$4+Data!W53*$K$4+Data!X53*$L$4+Data!Y53*$M$4</f>
        <v>-6.0594608399746654E-2</v>
      </c>
    </row>
    <row r="62" spans="1:2" x14ac:dyDescent="0.35">
      <c r="A62" s="3">
        <v>45474</v>
      </c>
      <c r="B62" s="26">
        <f>Data!$N54*$B$4+Data!$O54*$C$4+Data!P54*$D$4+Data!Q54*$E$4+Data!R54*$F$4+Data!S54*$G$4+Data!T54*$H$4+Data!U54*$I$4+Data!V54*$J$4+Data!W54*$K$4+Data!X54*$L$4+Data!Y54*$M$4</f>
        <v>3.5627535742798616E-2</v>
      </c>
    </row>
    <row r="63" spans="1:2" x14ac:dyDescent="0.35">
      <c r="A63" s="3">
        <v>45505</v>
      </c>
      <c r="B63" s="26">
        <f>Data!$N55*$B$4+Data!$O55*$C$4+Data!P55*$D$4+Data!Q55*$E$4+Data!R55*$F$4+Data!S55*$G$4+Data!T55*$H$4+Data!U55*$I$4+Data!V55*$J$4+Data!W55*$K$4+Data!X55*$L$4+Data!Y55*$M$4</f>
        <v>1.1757673702308199E-2</v>
      </c>
    </row>
    <row r="64" spans="1:2" x14ac:dyDescent="0.35">
      <c r="A64" s="3">
        <v>45536</v>
      </c>
      <c r="B64" s="26">
        <f>Data!$N56*$B$4+Data!$O56*$C$4+Data!P56*$D$4+Data!Q56*$E$4+Data!R56*$F$4+Data!S56*$G$4+Data!T56*$H$4+Data!U56*$I$4+Data!V56*$J$4+Data!W56*$K$4+Data!X56*$L$4+Data!Y56*$M$4</f>
        <v>-3.6725630834973221E-3</v>
      </c>
    </row>
    <row r="65" spans="1:2" x14ac:dyDescent="0.35">
      <c r="A65" s="3">
        <v>45566</v>
      </c>
      <c r="B65" s="26">
        <f>Data!$N57*$B$4+Data!$O57*$C$4+Data!P57*$D$4+Data!Q57*$E$4+Data!R57*$F$4+Data!S57*$G$4+Data!T57*$H$4+Data!U57*$I$4+Data!V57*$J$4+Data!W57*$K$4+Data!X57*$L$4+Data!Y57*$M$4</f>
        <v>-3.8897394878307137E-2</v>
      </c>
    </row>
    <row r="66" spans="1:2" x14ac:dyDescent="0.35">
      <c r="A66" s="3">
        <v>45597</v>
      </c>
      <c r="B66" s="26">
        <f>Data!$N58*$B$4+Data!$O58*$C$4+Data!P58*$D$4+Data!Q58*$E$4+Data!R58*$F$4+Data!S58*$G$4+Data!T58*$H$4+Data!U58*$I$4+Data!V58*$J$4+Data!W58*$K$4+Data!X58*$L$4+Data!Y58*$M$4</f>
        <v>-2.849332986662674E-2</v>
      </c>
    </row>
    <row r="67" spans="1:2" x14ac:dyDescent="0.35">
      <c r="A67" s="3">
        <v>45627</v>
      </c>
      <c r="B67" s="26">
        <f>Data!$N59*$B$4+Data!$O59*$C$4+Data!P59*$D$4+Data!Q59*$E$4+Data!R59*$F$4+Data!S59*$G$4+Data!T59*$H$4+Data!U59*$I$4+Data!V59*$J$4+Data!W59*$K$4+Data!X59*$L$4+Data!Y59*$M$4</f>
        <v>1.5920213935705956E-2</v>
      </c>
    </row>
    <row r="68" spans="1:2" x14ac:dyDescent="0.35">
      <c r="A68" s="3">
        <v>45658</v>
      </c>
      <c r="B68" s="26">
        <f>Data!$N60*$B$4+Data!$O60*$C$4+Data!P60*$D$4+Data!Q60*$E$4+Data!R60*$F$4+Data!S60*$G$4+Data!T60*$H$4+Data!U60*$I$4+Data!V60*$J$4+Data!W60*$K$4+Data!X60*$L$4+Data!Y60*$M$4</f>
        <v>5.4507183162056473E-2</v>
      </c>
    </row>
    <row r="69" spans="1:2" x14ac:dyDescent="0.35">
      <c r="A69" s="3">
        <v>45689</v>
      </c>
      <c r="B69" s="26">
        <f>Data!$N61*$B$4+Data!$O61*$C$4+Data!P61*$D$4+Data!Q61*$E$4+Data!R61*$F$4+Data!S61*$G$4+Data!T61*$H$4+Data!U61*$I$4+Data!V61*$J$4+Data!W61*$K$4+Data!X61*$L$4+Data!Y61*$M$4</f>
        <v>2.3727558803038132E-2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B139-FD2D-43D7-A97E-CBC0E1623A62}">
  <sheetPr codeName="Feuil3"/>
  <dimension ref="A2:C7"/>
  <sheetViews>
    <sheetView zoomScale="79" workbookViewId="0">
      <selection activeCell="C5" sqref="C5"/>
    </sheetView>
  </sheetViews>
  <sheetFormatPr baseColWidth="10" defaultColWidth="10.7265625" defaultRowHeight="14.5" x14ac:dyDescent="0.35"/>
  <cols>
    <col min="1" max="1" width="22.90625" customWidth="1"/>
  </cols>
  <sheetData>
    <row r="2" spans="1:3" x14ac:dyDescent="0.35">
      <c r="A2" s="18" t="s">
        <v>43</v>
      </c>
    </row>
    <row r="3" spans="1:3" ht="15" thickBot="1" x14ac:dyDescent="0.4">
      <c r="A3" s="30"/>
      <c r="B3" s="30"/>
      <c r="C3" s="30"/>
    </row>
    <row r="4" spans="1:3" ht="17.5" customHeight="1" x14ac:dyDescent="0.35">
      <c r="A4" s="79" t="s">
        <v>58</v>
      </c>
      <c r="B4" s="52" t="s">
        <v>56</v>
      </c>
      <c r="C4" s="54">
        <f>AVERAGE('Q1'!B11:B69)</f>
        <v>1.3683218426821811E-2</v>
      </c>
    </row>
    <row r="5" spans="1:3" ht="18" customHeight="1" thickBot="1" x14ac:dyDescent="0.4">
      <c r="A5" s="80"/>
      <c r="B5" s="53" t="s">
        <v>57</v>
      </c>
      <c r="C5" s="55">
        <f>C4*12</f>
        <v>0.16419862112186173</v>
      </c>
    </row>
    <row r="6" spans="1:3" ht="18" customHeight="1" x14ac:dyDescent="0.35">
      <c r="A6" s="81" t="s">
        <v>59</v>
      </c>
      <c r="B6" s="52" t="s">
        <v>56</v>
      </c>
      <c r="C6" s="54">
        <f>_xlfn.STDEV.S('Q1'!B11:B69)</f>
        <v>5.0425156209818502E-2</v>
      </c>
    </row>
    <row r="7" spans="1:3" ht="17.5" customHeight="1" thickBot="1" x14ac:dyDescent="0.4">
      <c r="A7" s="80"/>
      <c r="B7" s="53" t="s">
        <v>57</v>
      </c>
      <c r="C7" s="55">
        <f>C6*SQRT(12)</f>
        <v>0.17467786507000585</v>
      </c>
    </row>
  </sheetData>
  <mergeCells count="2">
    <mergeCell ref="A4:A5"/>
    <mergeCell ref="A6:A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2511-862F-40D8-90C3-830A72EF2470}">
  <sheetPr codeName="Feuil4"/>
  <dimension ref="A2:G17"/>
  <sheetViews>
    <sheetView zoomScale="62" workbookViewId="0">
      <selection activeCell="I10" sqref="I10"/>
    </sheetView>
  </sheetViews>
  <sheetFormatPr baseColWidth="10" defaultColWidth="10.7265625" defaultRowHeight="14.5" x14ac:dyDescent="0.35"/>
  <cols>
    <col min="2" max="2" width="12.08984375" customWidth="1"/>
  </cols>
  <sheetData>
    <row r="2" spans="1:7" x14ac:dyDescent="0.35">
      <c r="A2" s="18" t="s">
        <v>41</v>
      </c>
    </row>
    <row r="3" spans="1:7" x14ac:dyDescent="0.35">
      <c r="A3" s="33" t="s">
        <v>49</v>
      </c>
    </row>
    <row r="5" spans="1:7" ht="45.65" customHeight="1" thickBot="1" x14ac:dyDescent="0.4">
      <c r="B5" s="46" t="s">
        <v>60</v>
      </c>
      <c r="C5" s="34" t="s">
        <v>36</v>
      </c>
      <c r="D5" s="35" t="s">
        <v>32</v>
      </c>
      <c r="E5" s="35" t="s">
        <v>34</v>
      </c>
      <c r="F5" s="35" t="s">
        <v>33</v>
      </c>
      <c r="G5" s="35" t="s">
        <v>35</v>
      </c>
    </row>
    <row r="6" spans="1:7" ht="16" thickBot="1" x14ac:dyDescent="0.4">
      <c r="A6" s="6" t="s">
        <v>1</v>
      </c>
      <c r="B6" s="20">
        <f>AVERAGE(r_BN.PA)*12</f>
        <v>8.0141008757000587E-2</v>
      </c>
      <c r="C6" s="36">
        <v>0.33254584194381831</v>
      </c>
      <c r="D6" s="37">
        <f>SUM(C6:C17)</f>
        <v>1</v>
      </c>
      <c r="E6" s="41" cm="1">
        <f t="array" ref="E6">MMULT(TRANSPOSE(C6:C17),B6:B17)</f>
        <v>0.10382149106058601</v>
      </c>
      <c r="F6" s="41" cm="1">
        <f t="array" ref="F6">MMULT(MMULT(TRANSPOSE(C6:C17),Cov),C6:C17)*12</f>
        <v>1.7921442640264712E-2</v>
      </c>
      <c r="G6" s="41">
        <f>SQRT(F6)</f>
        <v>0.1338709925273758</v>
      </c>
    </row>
    <row r="7" spans="1:7" ht="15.5" x14ac:dyDescent="0.35">
      <c r="A7" s="6" t="s">
        <v>2</v>
      </c>
      <c r="B7" s="20">
        <f>AVERAGE(r_BNP.PA)*12</f>
        <v>0.32603851869449318</v>
      </c>
      <c r="C7" s="23">
        <v>0</v>
      </c>
      <c r="D7" s="16"/>
      <c r="E7" s="16"/>
      <c r="F7" s="16"/>
      <c r="G7" s="16"/>
    </row>
    <row r="8" spans="1:7" ht="15.5" x14ac:dyDescent="0.35">
      <c r="A8" s="6" t="s">
        <v>3</v>
      </c>
      <c r="B8" s="20">
        <f>AVERAGE(r_CA.PA)*12</f>
        <v>4.2391280458784326E-2</v>
      </c>
      <c r="C8" s="23">
        <v>0.22698930776771881</v>
      </c>
      <c r="D8" s="16"/>
      <c r="E8" s="16"/>
      <c r="F8" s="16"/>
      <c r="G8" s="16"/>
    </row>
    <row r="9" spans="1:7" ht="15.5" x14ac:dyDescent="0.35">
      <c r="A9" s="6" t="s">
        <v>4</v>
      </c>
      <c r="B9" s="20">
        <f>AVERAGE(r_CS.PA)*12</f>
        <v>0.27105391138211221</v>
      </c>
      <c r="C9" s="23">
        <v>0</v>
      </c>
      <c r="D9" s="16"/>
      <c r="E9" s="16"/>
      <c r="F9" s="16"/>
      <c r="G9" s="16"/>
    </row>
    <row r="10" spans="1:7" ht="15.5" x14ac:dyDescent="0.35">
      <c r="A10" s="6" t="s">
        <v>5</v>
      </c>
      <c r="B10" s="20">
        <f>AVERAGE(r_DG.PA)*12</f>
        <v>0.13670020780747316</v>
      </c>
      <c r="C10" s="23">
        <v>0</v>
      </c>
    </row>
    <row r="11" spans="1:7" ht="15.5" x14ac:dyDescent="0.35">
      <c r="A11" s="6" t="s">
        <v>6</v>
      </c>
      <c r="B11" s="20">
        <f>AVERAGE(r_EN.PA)*12</f>
        <v>0.11676615658866349</v>
      </c>
      <c r="C11" s="23">
        <v>1.597720701194601E-2</v>
      </c>
    </row>
    <row r="12" spans="1:7" ht="15.5" x14ac:dyDescent="0.35">
      <c r="A12" s="6" t="s">
        <v>7</v>
      </c>
      <c r="B12" s="20">
        <f>AVERAGE(r_ENGI.PA)*12</f>
        <v>0.19109489942337862</v>
      </c>
      <c r="C12" s="23">
        <v>0.18504333475650747</v>
      </c>
    </row>
    <row r="13" spans="1:7" ht="15.5" x14ac:dyDescent="0.35">
      <c r="A13" s="6" t="s">
        <v>8</v>
      </c>
      <c r="B13" s="20">
        <f>AVERAGE(r_KER.PA)*12</f>
        <v>-3.7197964699965641E-2</v>
      </c>
      <c r="C13" s="23">
        <v>0</v>
      </c>
    </row>
    <row r="14" spans="1:7" ht="15.5" x14ac:dyDescent="0.35">
      <c r="A14" s="6" t="s">
        <v>9</v>
      </c>
      <c r="B14" s="20">
        <f>AVERAGE(r_ML.PA)*12</f>
        <v>0.15975950333029129</v>
      </c>
      <c r="C14" s="23">
        <v>6.5860511494292465E-2</v>
      </c>
    </row>
    <row r="15" spans="1:7" ht="15.5" x14ac:dyDescent="0.35">
      <c r="A15" s="6" t="s">
        <v>10</v>
      </c>
      <c r="B15" s="20">
        <f>AVERAGE(r_OR.PA)*12</f>
        <v>0.1096751689273163</v>
      </c>
      <c r="C15" s="23">
        <v>0.16575668514598799</v>
      </c>
    </row>
    <row r="16" spans="1:7" ht="15.5" x14ac:dyDescent="0.35">
      <c r="A16" s="6" t="s">
        <v>11</v>
      </c>
      <c r="B16" s="20">
        <f>AVERAGE(r_SGO.PA)*12</f>
        <v>0.3668735385715004</v>
      </c>
      <c r="C16" s="23">
        <v>0</v>
      </c>
    </row>
    <row r="17" spans="1:3" ht="16" thickBot="1" x14ac:dyDescent="0.4">
      <c r="A17" s="6" t="s">
        <v>12</v>
      </c>
      <c r="B17" s="21">
        <f>AVERAGE(r_TTE.PA)*12</f>
        <v>0.20708722422129289</v>
      </c>
      <c r="C17" s="24">
        <v>7.8271118797289194E-3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BEF0D-282F-4C8F-9E14-43806786FFE4}">
  <sheetPr codeName="Feuil5"/>
  <dimension ref="A2:AB201"/>
  <sheetViews>
    <sheetView topLeftCell="A93" zoomScale="40" workbookViewId="0">
      <selection activeCell="Y43" sqref="Y43"/>
    </sheetView>
  </sheetViews>
  <sheetFormatPr baseColWidth="10" defaultColWidth="10.7265625" defaultRowHeight="14.5" x14ac:dyDescent="0.35"/>
  <cols>
    <col min="1" max="1" width="10.1796875" customWidth="1"/>
    <col min="2" max="2" width="15.08984375" customWidth="1"/>
    <col min="3" max="3" width="12.6328125" customWidth="1"/>
    <col min="5" max="5" width="16" customWidth="1"/>
    <col min="10" max="10" width="14.81640625" customWidth="1"/>
    <col min="12" max="12" width="14.08984375" customWidth="1"/>
    <col min="13" max="13" width="14.54296875" customWidth="1"/>
    <col min="14" max="14" width="12.1796875" customWidth="1"/>
    <col min="15" max="15" width="16.08984375" customWidth="1"/>
    <col min="22" max="22" width="14.54296875" customWidth="1"/>
    <col min="23" max="23" width="13.26953125" customWidth="1"/>
    <col min="24" max="24" width="13.90625" customWidth="1"/>
    <col min="25" max="25" width="14.54296875" customWidth="1"/>
  </cols>
  <sheetData>
    <row r="2" spans="1:28" x14ac:dyDescent="0.35">
      <c r="A2" s="18" t="s">
        <v>40</v>
      </c>
    </row>
    <row r="3" spans="1:28" x14ac:dyDescent="0.35">
      <c r="A3" s="33" t="s">
        <v>75</v>
      </c>
    </row>
    <row r="5" spans="1:28" x14ac:dyDescent="0.35">
      <c r="A5" s="82" t="s">
        <v>50</v>
      </c>
      <c r="B5" s="82"/>
      <c r="C5" s="82"/>
      <c r="D5" s="82"/>
      <c r="E5" s="51">
        <f>'Q3'!E6</f>
        <v>0.10382149106058601</v>
      </c>
    </row>
    <row r="6" spans="1:28" x14ac:dyDescent="0.35">
      <c r="U6" s="65"/>
      <c r="V6" s="65"/>
      <c r="W6" s="65"/>
      <c r="X6" s="65"/>
      <c r="Y6" s="65"/>
      <c r="Z6" s="65"/>
      <c r="AA6" s="65"/>
      <c r="AB6" s="65"/>
    </row>
    <row r="7" spans="1:28" ht="44" thickBot="1" x14ac:dyDescent="0.4">
      <c r="B7" s="46" t="s">
        <v>60</v>
      </c>
      <c r="C7" s="34" t="s">
        <v>36</v>
      </c>
      <c r="D7" s="35" t="s">
        <v>32</v>
      </c>
      <c r="E7" s="35" t="s">
        <v>42</v>
      </c>
      <c r="F7" s="35" t="s">
        <v>34</v>
      </c>
      <c r="G7" s="35" t="s">
        <v>33</v>
      </c>
      <c r="H7" s="35" t="s">
        <v>35</v>
      </c>
      <c r="T7" s="57"/>
      <c r="U7" s="65"/>
      <c r="V7" s="65"/>
      <c r="W7" s="65"/>
      <c r="X7" s="65"/>
      <c r="Y7" s="65"/>
      <c r="Z7" s="65"/>
      <c r="AA7" s="65"/>
      <c r="AB7" s="65"/>
    </row>
    <row r="8" spans="1:28" ht="16" thickBot="1" x14ac:dyDescent="0.4">
      <c r="A8" s="6" t="s">
        <v>1</v>
      </c>
      <c r="B8" s="20">
        <f>AVERAGE(r_BN.PA)*12</f>
        <v>8.0141008757000587E-2</v>
      </c>
      <c r="C8" s="23">
        <v>0.33223949168843198</v>
      </c>
      <c r="D8" s="25">
        <f>SUM(C8:C19)</f>
        <v>1</v>
      </c>
      <c r="E8" s="39">
        <f>E5</f>
        <v>0.10382149106058601</v>
      </c>
      <c r="F8" s="39" cm="1">
        <f t="array" ref="F8">MMULT(TRANSPOSE(C8:C19),B8:B19)</f>
        <v>0.10382148791309662</v>
      </c>
      <c r="G8" s="40" cm="1">
        <f t="array" ref="G8">MMULT(MMULT(TRANSPOSE(C8:C19),Cov),C8:C19)*12</f>
        <v>1.7921455473115695E-2</v>
      </c>
      <c r="H8" s="39">
        <f>SQRT(G8)</f>
        <v>0.13387104045728374</v>
      </c>
      <c r="N8" s="57"/>
      <c r="T8" s="57"/>
      <c r="U8" s="65"/>
      <c r="V8" s="65"/>
      <c r="W8" s="65"/>
      <c r="X8" s="65"/>
      <c r="Y8" s="65"/>
      <c r="Z8" s="65"/>
      <c r="AA8" s="65"/>
      <c r="AB8" s="65"/>
    </row>
    <row r="9" spans="1:28" ht="15.5" x14ac:dyDescent="0.35">
      <c r="A9" s="6" t="s">
        <v>2</v>
      </c>
      <c r="B9" s="20">
        <f>AVERAGE(r_BNP.PA)*12</f>
        <v>0.32603851869449318</v>
      </c>
      <c r="C9" s="23">
        <v>0</v>
      </c>
      <c r="D9" s="16"/>
      <c r="E9" s="16"/>
      <c r="F9" s="16"/>
      <c r="G9" s="16"/>
      <c r="H9" s="16"/>
      <c r="N9" s="57"/>
      <c r="T9" s="57"/>
      <c r="U9" s="65"/>
      <c r="V9" s="65"/>
      <c r="W9" s="65"/>
      <c r="X9" s="65"/>
      <c r="Y9" s="65"/>
      <c r="Z9" s="65"/>
      <c r="AA9" s="65"/>
      <c r="AB9" s="65"/>
    </row>
    <row r="10" spans="1:28" ht="15.5" x14ac:dyDescent="0.35">
      <c r="A10" s="6" t="s">
        <v>3</v>
      </c>
      <c r="B10" s="20">
        <f>AVERAGE(r_CA.PA)*12</f>
        <v>4.2391280458784326E-2</v>
      </c>
      <c r="C10" s="23">
        <v>0.22731239505574563</v>
      </c>
      <c r="D10" s="16"/>
      <c r="E10" s="16"/>
      <c r="F10" s="16"/>
      <c r="G10" s="16"/>
      <c r="H10" s="16"/>
      <c r="N10" s="57"/>
      <c r="T10" s="57"/>
      <c r="U10" s="65"/>
      <c r="V10" s="65"/>
      <c r="W10" s="65"/>
      <c r="X10" s="65"/>
      <c r="Y10" s="65"/>
      <c r="Z10" s="65"/>
      <c r="AA10" s="65"/>
      <c r="AB10" s="65"/>
    </row>
    <row r="11" spans="1:28" ht="15.5" x14ac:dyDescent="0.35">
      <c r="A11" s="6" t="s">
        <v>4</v>
      </c>
      <c r="B11" s="20">
        <f>AVERAGE(r_CS.PA)*12</f>
        <v>0.27105391138211221</v>
      </c>
      <c r="C11" s="23">
        <v>0</v>
      </c>
      <c r="D11" s="16"/>
      <c r="E11" s="16"/>
      <c r="F11" s="16"/>
      <c r="G11" s="16"/>
      <c r="H11" s="16"/>
      <c r="N11" s="57"/>
      <c r="T11" s="57"/>
      <c r="U11" s="65"/>
      <c r="V11" s="65"/>
      <c r="W11" s="65"/>
      <c r="X11" s="65"/>
      <c r="Y11" s="65"/>
      <c r="Z11" s="65"/>
      <c r="AA11" s="65"/>
      <c r="AB11" s="65"/>
    </row>
    <row r="12" spans="1:28" ht="15.5" x14ac:dyDescent="0.35">
      <c r="A12" s="6" t="s">
        <v>5</v>
      </c>
      <c r="B12" s="20">
        <f>AVERAGE(r_DG.PA)*12</f>
        <v>0.13670020780747316</v>
      </c>
      <c r="C12" s="23">
        <v>0</v>
      </c>
      <c r="U12" s="65"/>
      <c r="V12" s="65"/>
      <c r="W12" s="65"/>
      <c r="X12" s="65"/>
      <c r="Y12" s="65"/>
      <c r="Z12" s="65"/>
      <c r="AA12" s="65"/>
      <c r="AB12" s="65"/>
    </row>
    <row r="13" spans="1:28" ht="15.5" x14ac:dyDescent="0.35">
      <c r="A13" s="6" t="s">
        <v>6</v>
      </c>
      <c r="B13" s="20">
        <f>AVERAGE(r_EN.PA)*12</f>
        <v>0.11676615658866349</v>
      </c>
      <c r="C13" s="23">
        <v>1.5990576820827312E-2</v>
      </c>
      <c r="J13" s="26"/>
      <c r="U13" s="65"/>
      <c r="V13" s="65"/>
      <c r="W13" s="65"/>
      <c r="X13" s="65"/>
      <c r="Y13" s="65"/>
      <c r="Z13" s="65"/>
      <c r="AA13" s="65"/>
      <c r="AB13" s="65"/>
    </row>
    <row r="14" spans="1:28" ht="15.5" x14ac:dyDescent="0.35">
      <c r="A14" s="6" t="s">
        <v>7</v>
      </c>
      <c r="B14" s="20">
        <f>AVERAGE(r_ENGI.PA)*12</f>
        <v>0.19109489942337862</v>
      </c>
      <c r="C14" s="23">
        <v>0.18535322063534923</v>
      </c>
      <c r="J14" s="26"/>
      <c r="U14" s="65"/>
      <c r="V14" s="65"/>
      <c r="W14" s="65"/>
      <c r="X14" s="65"/>
      <c r="Y14" s="65"/>
      <c r="Z14" s="65"/>
      <c r="AA14" s="65"/>
      <c r="AB14" s="65"/>
    </row>
    <row r="15" spans="1:28" ht="15.5" x14ac:dyDescent="0.35">
      <c r="A15" s="6" t="s">
        <v>8</v>
      </c>
      <c r="B15" s="20">
        <f>AVERAGE(r_KER.PA)*12</f>
        <v>-3.7197964699965641E-2</v>
      </c>
      <c r="C15" s="23">
        <v>0</v>
      </c>
      <c r="J15" s="26"/>
      <c r="U15" s="65"/>
      <c r="V15" s="65"/>
      <c r="W15" s="65"/>
      <c r="X15" s="65"/>
      <c r="Y15" s="65"/>
      <c r="Z15" s="65"/>
      <c r="AA15" s="65"/>
      <c r="AB15" s="65"/>
    </row>
    <row r="16" spans="1:28" ht="15.5" x14ac:dyDescent="0.35">
      <c r="A16" s="6" t="s">
        <v>9</v>
      </c>
      <c r="B16" s="20">
        <f>AVERAGE(r_ML.PA)*12</f>
        <v>0.15975950333029129</v>
      </c>
      <c r="C16" s="23">
        <v>6.6119368785545141E-2</v>
      </c>
      <c r="J16" s="26"/>
      <c r="U16" s="65"/>
      <c r="V16" s="65"/>
      <c r="W16" s="65"/>
      <c r="X16" s="65"/>
      <c r="Y16" s="65"/>
      <c r="Z16" s="65"/>
      <c r="AA16" s="65"/>
      <c r="AB16" s="65"/>
    </row>
    <row r="17" spans="1:28" ht="15.5" x14ac:dyDescent="0.35">
      <c r="A17" s="6" t="s">
        <v>10</v>
      </c>
      <c r="B17" s="20">
        <f>AVERAGE(r_OR.PA)*12</f>
        <v>0.1096751689273163</v>
      </c>
      <c r="C17" s="23">
        <v>0.16542066401009087</v>
      </c>
      <c r="J17" s="26"/>
      <c r="U17" s="65"/>
      <c r="V17" s="65"/>
      <c r="W17" s="65"/>
      <c r="X17" s="65"/>
      <c r="Y17" s="65"/>
      <c r="Z17" s="65"/>
      <c r="AA17" s="65"/>
      <c r="AB17" s="65"/>
    </row>
    <row r="18" spans="1:28" ht="15.5" x14ac:dyDescent="0.35">
      <c r="A18" s="6" t="s">
        <v>11</v>
      </c>
      <c r="B18" s="20">
        <f>AVERAGE(r_SGO.PA)*12</f>
        <v>0.3668735385715004</v>
      </c>
      <c r="C18" s="23">
        <v>0</v>
      </c>
      <c r="J18" s="26"/>
      <c r="U18" s="65"/>
      <c r="V18" s="65"/>
      <c r="W18" s="65"/>
      <c r="X18" s="65"/>
      <c r="Y18" s="65"/>
      <c r="Z18" s="65"/>
      <c r="AA18" s="65"/>
      <c r="AB18" s="65"/>
    </row>
    <row r="19" spans="1:28" ht="16" thickBot="1" x14ac:dyDescent="0.4">
      <c r="A19" s="6" t="s">
        <v>12</v>
      </c>
      <c r="B19" s="21">
        <f>AVERAGE(r_TTE.PA)*12</f>
        <v>0.20708722422129289</v>
      </c>
      <c r="C19" s="24">
        <v>7.5642830040099822E-3</v>
      </c>
      <c r="J19" s="26"/>
      <c r="U19" s="65"/>
      <c r="V19" s="65"/>
      <c r="W19" s="65"/>
      <c r="X19" s="65"/>
      <c r="Y19" s="65"/>
      <c r="Z19" s="65"/>
      <c r="AA19" s="65"/>
      <c r="AB19" s="65"/>
    </row>
    <row r="20" spans="1:28" x14ac:dyDescent="0.35">
      <c r="A20" s="17"/>
      <c r="J20" s="26"/>
      <c r="U20" s="65"/>
      <c r="V20" s="65"/>
      <c r="W20" s="65"/>
      <c r="X20" s="65"/>
      <c r="Y20" s="65"/>
      <c r="Z20" s="65"/>
      <c r="AA20" s="65"/>
      <c r="AB20" s="65"/>
    </row>
    <row r="21" spans="1:28" x14ac:dyDescent="0.35">
      <c r="A21" s="17"/>
      <c r="J21" s="26"/>
      <c r="U21" s="65"/>
      <c r="V21" s="65"/>
      <c r="W21" s="65"/>
      <c r="X21" s="65"/>
      <c r="Y21" s="65"/>
      <c r="Z21" s="65"/>
      <c r="AA21" s="65"/>
      <c r="AB21" s="65"/>
    </row>
    <row r="22" spans="1:28" x14ac:dyDescent="0.35">
      <c r="J22" s="26"/>
      <c r="U22" s="65"/>
      <c r="V22" s="65"/>
      <c r="W22" s="65"/>
      <c r="X22" s="65"/>
      <c r="Y22" s="65"/>
      <c r="Z22" s="65"/>
      <c r="AA22" s="65"/>
      <c r="AB22" s="65"/>
    </row>
    <row r="23" spans="1:28" x14ac:dyDescent="0.35">
      <c r="B23" s="31" t="s">
        <v>46</v>
      </c>
      <c r="D23" s="60"/>
      <c r="J23" s="26"/>
      <c r="U23" s="65"/>
      <c r="V23" s="65"/>
      <c r="W23" s="65"/>
      <c r="X23" s="65"/>
      <c r="Y23" s="65"/>
      <c r="Z23" s="65"/>
      <c r="AA23" s="65"/>
      <c r="AB23" s="65"/>
    </row>
    <row r="24" spans="1:28" ht="15" thickBot="1" x14ac:dyDescent="0.4">
      <c r="B24" s="32" t="s">
        <v>52</v>
      </c>
      <c r="C24" s="32" t="s">
        <v>47</v>
      </c>
      <c r="D24" s="60"/>
      <c r="J24" s="26"/>
      <c r="U24" s="65"/>
      <c r="V24" s="65"/>
      <c r="W24" s="65"/>
      <c r="X24" s="65"/>
      <c r="Y24" s="65"/>
      <c r="Z24" s="65"/>
      <c r="AA24" s="65"/>
      <c r="AB24" s="65"/>
    </row>
    <row r="25" spans="1:28" x14ac:dyDescent="0.35">
      <c r="B25" s="26">
        <v>0.10384609030918678</v>
      </c>
      <c r="C25" s="26">
        <v>0.13387111442754696</v>
      </c>
      <c r="D25" s="60"/>
      <c r="J25" s="26"/>
      <c r="U25" s="65"/>
      <c r="V25" s="65"/>
      <c r="W25" s="65"/>
      <c r="X25" s="65"/>
      <c r="Y25" s="65"/>
      <c r="Z25" s="65"/>
      <c r="AA25" s="65"/>
      <c r="AB25" s="65"/>
    </row>
    <row r="26" spans="1:28" x14ac:dyDescent="0.35">
      <c r="B26" s="26">
        <v>0.12384609030918678</v>
      </c>
      <c r="C26" s="26">
        <v>0.13669960061879657</v>
      </c>
      <c r="D26" s="60"/>
      <c r="J26" s="26"/>
      <c r="U26" s="65"/>
      <c r="V26" s="65"/>
      <c r="W26" s="65"/>
      <c r="X26" s="65"/>
      <c r="Y26" s="65"/>
      <c r="Z26" s="65"/>
      <c r="AA26" s="65"/>
      <c r="AB26" s="65"/>
    </row>
    <row r="27" spans="1:28" x14ac:dyDescent="0.35">
      <c r="B27" s="26">
        <v>0.14384609030918677</v>
      </c>
      <c r="C27" s="26">
        <v>0.14211372673292588</v>
      </c>
      <c r="D27" s="60"/>
      <c r="J27" s="26"/>
      <c r="K27" s="26"/>
      <c r="U27" s="65"/>
      <c r="V27" s="65"/>
      <c r="W27" s="65"/>
      <c r="X27" s="65"/>
      <c r="Y27" s="65"/>
      <c r="Z27" s="65"/>
      <c r="AA27" s="65"/>
      <c r="AB27" s="65"/>
    </row>
    <row r="28" spans="1:28" x14ac:dyDescent="0.35">
      <c r="B28" s="26">
        <v>0.16384609030918679</v>
      </c>
      <c r="C28" s="26">
        <v>0.14883144550440883</v>
      </c>
      <c r="D28" s="60"/>
      <c r="J28" s="26"/>
      <c r="K28" s="26"/>
      <c r="U28" s="65"/>
      <c r="V28" s="65"/>
      <c r="W28" s="65"/>
      <c r="X28" s="65"/>
      <c r="Y28" s="65"/>
      <c r="Z28" s="65"/>
      <c r="AA28" s="65"/>
      <c r="AB28" s="65"/>
    </row>
    <row r="29" spans="1:28" x14ac:dyDescent="0.35">
      <c r="B29" s="26">
        <v>0.18384609030918678</v>
      </c>
      <c r="C29" s="26">
        <v>0.15665873440482353</v>
      </c>
      <c r="D29" s="60"/>
      <c r="J29" s="26"/>
      <c r="K29" s="26"/>
      <c r="U29" s="65"/>
      <c r="V29" s="65"/>
      <c r="W29" s="65"/>
      <c r="X29" s="65"/>
      <c r="Y29" s="65"/>
      <c r="Z29" s="65"/>
      <c r="AA29" s="65"/>
      <c r="AB29" s="65"/>
    </row>
    <row r="30" spans="1:28" x14ac:dyDescent="0.35">
      <c r="B30" s="26">
        <v>0.20384609030918677</v>
      </c>
      <c r="C30" s="26">
        <v>0.16538025803166048</v>
      </c>
      <c r="D30" s="60"/>
      <c r="J30" s="26"/>
      <c r="K30" s="26"/>
      <c r="U30" s="65"/>
      <c r="V30" s="65"/>
      <c r="W30" s="65"/>
      <c r="X30" s="65"/>
      <c r="Y30" s="65"/>
      <c r="Z30" s="65"/>
      <c r="AA30" s="65"/>
      <c r="AB30" s="65"/>
    </row>
    <row r="31" spans="1:28" x14ac:dyDescent="0.35">
      <c r="B31" s="26">
        <v>0.22384609030918678</v>
      </c>
      <c r="C31" s="26">
        <v>0.17518138759189142</v>
      </c>
      <c r="D31" s="60"/>
      <c r="J31" s="26"/>
      <c r="K31" s="26"/>
      <c r="U31" s="65"/>
      <c r="V31" s="65"/>
      <c r="W31" s="65"/>
      <c r="X31" s="65"/>
      <c r="Y31" s="65"/>
      <c r="Z31" s="65"/>
      <c r="AA31" s="65"/>
      <c r="AB31" s="65"/>
    </row>
    <row r="32" spans="1:28" x14ac:dyDescent="0.35">
      <c r="B32" s="26">
        <v>0.2438460903091868</v>
      </c>
      <c r="C32" s="26">
        <v>0.18599650029233306</v>
      </c>
      <c r="D32" s="60"/>
      <c r="J32" s="26"/>
      <c r="K32" s="26"/>
      <c r="U32" s="65"/>
      <c r="V32" s="65"/>
      <c r="W32" s="65"/>
      <c r="X32" s="65"/>
      <c r="Y32" s="65"/>
      <c r="Z32" s="65"/>
      <c r="AA32" s="65"/>
      <c r="AB32" s="65"/>
    </row>
    <row r="33" spans="2:28" x14ac:dyDescent="0.35">
      <c r="B33" s="26">
        <v>0.26384609030918676</v>
      </c>
      <c r="C33" s="26">
        <v>0.19765922247372023</v>
      </c>
      <c r="D33" s="60"/>
      <c r="J33" s="26"/>
      <c r="K33" s="26"/>
      <c r="U33" s="65"/>
      <c r="V33" s="65"/>
      <c r="W33" s="65"/>
      <c r="X33" s="65"/>
      <c r="Y33" s="65"/>
      <c r="Z33" s="65"/>
      <c r="AA33" s="65"/>
      <c r="AB33" s="65"/>
    </row>
    <row r="34" spans="2:28" x14ac:dyDescent="0.35">
      <c r="B34" s="26">
        <v>0.28384609030918678</v>
      </c>
      <c r="C34" s="26">
        <v>0.21003785004409301</v>
      </c>
      <c r="D34" s="60"/>
      <c r="J34" s="26"/>
      <c r="K34" s="26"/>
      <c r="U34" s="65"/>
      <c r="V34" s="65"/>
      <c r="W34" s="65"/>
      <c r="X34" s="65"/>
      <c r="Y34" s="65"/>
      <c r="Z34" s="65"/>
      <c r="AA34" s="65"/>
      <c r="AB34" s="65"/>
    </row>
    <row r="35" spans="2:28" x14ac:dyDescent="0.35">
      <c r="B35" s="26">
        <v>0.3038460903091868</v>
      </c>
      <c r="C35" s="26">
        <v>0.22434203967090008</v>
      </c>
      <c r="D35" s="60"/>
      <c r="J35" s="26"/>
      <c r="K35" s="26"/>
      <c r="U35" s="65"/>
      <c r="V35" s="65"/>
      <c r="W35" s="65"/>
      <c r="X35" s="65"/>
      <c r="Y35" s="65"/>
      <c r="Z35" s="65"/>
      <c r="AA35" s="65"/>
      <c r="AB35" s="65"/>
    </row>
    <row r="36" spans="2:28" x14ac:dyDescent="0.35">
      <c r="B36" s="26">
        <v>0.32384609029254974</v>
      </c>
      <c r="C36" s="26">
        <v>0.2423834460292629</v>
      </c>
      <c r="D36" s="60"/>
      <c r="U36" s="65"/>
      <c r="V36" s="65"/>
      <c r="W36" s="65"/>
      <c r="X36" s="65"/>
      <c r="Y36" s="65"/>
      <c r="Z36" s="65"/>
      <c r="AA36" s="65"/>
      <c r="AB36" s="65"/>
    </row>
    <row r="37" spans="2:28" x14ac:dyDescent="0.35">
      <c r="B37" s="26">
        <v>0.34384609030918678</v>
      </c>
      <c r="C37" s="26">
        <v>0.26311275246321525</v>
      </c>
      <c r="D37" s="60"/>
      <c r="U37" s="65"/>
      <c r="V37" s="65"/>
      <c r="W37" s="65"/>
      <c r="X37" s="65"/>
      <c r="Y37" s="65"/>
      <c r="Z37" s="65"/>
      <c r="AA37" s="65"/>
      <c r="AB37" s="65"/>
    </row>
    <row r="38" spans="2:28" x14ac:dyDescent="0.35">
      <c r="B38" s="26">
        <v>0.3638460903091868</v>
      </c>
      <c r="C38" s="26">
        <v>0.2876775520102941</v>
      </c>
      <c r="D38" s="60"/>
      <c r="U38" s="65"/>
      <c r="V38" s="65"/>
      <c r="W38" s="65"/>
      <c r="X38" s="65"/>
      <c r="Y38" s="65"/>
      <c r="Z38" s="65"/>
      <c r="AA38" s="65"/>
      <c r="AB38" s="65"/>
    </row>
    <row r="39" spans="2:28" ht="59.15" customHeight="1" x14ac:dyDescent="0.35">
      <c r="B39" s="47">
        <v>0.38384609030918682</v>
      </c>
      <c r="C39" s="48" t="s">
        <v>51</v>
      </c>
      <c r="D39" s="60"/>
      <c r="U39" s="65"/>
      <c r="V39" s="65"/>
      <c r="W39" s="65"/>
      <c r="X39" s="65"/>
      <c r="Y39" s="65"/>
      <c r="Z39" s="65"/>
      <c r="AA39" s="65"/>
      <c r="AB39" s="65"/>
    </row>
    <row r="40" spans="2:28" x14ac:dyDescent="0.35">
      <c r="U40" s="65"/>
      <c r="V40" s="65"/>
      <c r="W40" s="65"/>
      <c r="X40" s="65"/>
      <c r="Y40" s="65"/>
      <c r="Z40" s="65"/>
      <c r="AA40" s="65"/>
      <c r="AB40" s="65"/>
    </row>
    <row r="41" spans="2:28" x14ac:dyDescent="0.35">
      <c r="U41" s="65"/>
      <c r="V41" s="65"/>
      <c r="W41" s="65"/>
      <c r="X41" s="65"/>
      <c r="Y41" s="65"/>
      <c r="Z41" s="65"/>
      <c r="AA41" s="65"/>
      <c r="AB41" s="65"/>
    </row>
    <row r="42" spans="2:28" x14ac:dyDescent="0.35">
      <c r="B42" s="31" t="s">
        <v>62</v>
      </c>
      <c r="C42" s="31"/>
      <c r="U42" s="65"/>
      <c r="V42" s="65"/>
      <c r="W42" s="65"/>
      <c r="X42" s="65"/>
      <c r="Y42" s="65"/>
      <c r="Z42" s="65"/>
      <c r="AA42" s="65"/>
      <c r="AB42" s="65"/>
    </row>
    <row r="43" spans="2:28" x14ac:dyDescent="0.35">
      <c r="B43" s="26">
        <f>'Q2'!C5</f>
        <v>0.16419862112186173</v>
      </c>
      <c r="C43" s="26">
        <f>'Q2'!C7</f>
        <v>0.17467786507000585</v>
      </c>
      <c r="U43" s="65"/>
      <c r="V43" s="65"/>
      <c r="W43" s="65"/>
      <c r="X43" s="65"/>
      <c r="Y43" s="65"/>
      <c r="Z43" s="65"/>
      <c r="AA43" s="65"/>
      <c r="AB43" s="65"/>
    </row>
    <row r="44" spans="2:28" x14ac:dyDescent="0.35">
      <c r="U44" s="65"/>
      <c r="V44" s="65"/>
      <c r="W44" s="65"/>
      <c r="X44" s="65"/>
      <c r="Y44" s="65"/>
      <c r="Z44" s="65"/>
      <c r="AA44" s="65"/>
      <c r="AB44" s="65"/>
    </row>
    <row r="45" spans="2:28" x14ac:dyDescent="0.35">
      <c r="U45" s="65"/>
      <c r="V45" s="65"/>
      <c r="W45" s="65"/>
      <c r="X45" s="65"/>
      <c r="Y45" s="65"/>
      <c r="Z45" s="65"/>
      <c r="AA45" s="65"/>
      <c r="AB45" s="65"/>
    </row>
    <row r="46" spans="2:28" x14ac:dyDescent="0.35">
      <c r="U46" s="65"/>
      <c r="V46" s="65"/>
      <c r="W46" s="65"/>
      <c r="X46" s="65"/>
      <c r="Y46" s="65"/>
      <c r="Z46" s="65"/>
      <c r="AA46" s="65"/>
      <c r="AB46" s="65"/>
    </row>
    <row r="47" spans="2:28" x14ac:dyDescent="0.35">
      <c r="U47" s="65"/>
      <c r="V47" s="65"/>
      <c r="W47" s="65"/>
      <c r="X47" s="65"/>
      <c r="Y47" s="65"/>
      <c r="Z47" s="65"/>
      <c r="AA47" s="65"/>
      <c r="AB47" s="65"/>
    </row>
    <row r="48" spans="2:28" x14ac:dyDescent="0.35">
      <c r="U48" s="65"/>
      <c r="V48" s="65"/>
      <c r="W48" s="65"/>
      <c r="X48" s="65"/>
      <c r="Y48" s="65"/>
      <c r="Z48" s="65"/>
      <c r="AA48" s="65"/>
      <c r="AB48" s="65"/>
    </row>
    <row r="49" spans="1:28" x14ac:dyDescent="0.35">
      <c r="U49" s="65"/>
      <c r="V49" s="65"/>
      <c r="W49" s="65"/>
      <c r="X49" s="65"/>
      <c r="Y49" s="65"/>
      <c r="Z49" s="65"/>
      <c r="AA49" s="65"/>
      <c r="AB49" s="65"/>
    </row>
    <row r="50" spans="1:28" x14ac:dyDescent="0.35">
      <c r="U50" s="65"/>
      <c r="V50" s="65"/>
      <c r="W50" s="65"/>
      <c r="X50" s="65"/>
      <c r="Y50" s="65"/>
      <c r="Z50" s="65"/>
      <c r="AA50" s="65"/>
      <c r="AB50" s="65"/>
    </row>
    <row r="51" spans="1:28" x14ac:dyDescent="0.35">
      <c r="U51" s="65"/>
      <c r="V51" s="65"/>
      <c r="W51" s="65"/>
      <c r="X51" s="65"/>
      <c r="Y51" s="65"/>
      <c r="Z51" s="65"/>
      <c r="AA51" s="65"/>
      <c r="AB51" s="65"/>
    </row>
    <row r="52" spans="1:28" x14ac:dyDescent="0.35">
      <c r="U52" s="65"/>
      <c r="V52" s="65"/>
      <c r="W52" s="65"/>
      <c r="X52" s="65"/>
      <c r="Y52" s="65"/>
      <c r="Z52" s="65"/>
      <c r="AA52" s="65"/>
      <c r="AB52" s="65"/>
    </row>
    <row r="53" spans="1:28" x14ac:dyDescent="0.35">
      <c r="U53" s="65"/>
      <c r="V53" s="65"/>
      <c r="W53" s="65"/>
      <c r="X53" s="65"/>
      <c r="Y53" s="65"/>
      <c r="Z53" s="65"/>
      <c r="AA53" s="65"/>
      <c r="AB53" s="65"/>
    </row>
    <row r="54" spans="1:28" x14ac:dyDescent="0.35">
      <c r="U54" s="65"/>
      <c r="V54" s="65"/>
      <c r="W54" s="65"/>
      <c r="X54" s="65"/>
      <c r="Y54" s="65"/>
      <c r="Z54" s="65"/>
      <c r="AA54" s="65"/>
      <c r="AB54" s="65"/>
    </row>
    <row r="55" spans="1:28" x14ac:dyDescent="0.35">
      <c r="U55" s="65"/>
      <c r="V55" s="65"/>
      <c r="W55" s="65"/>
      <c r="X55" s="65"/>
      <c r="Y55" s="65"/>
      <c r="Z55" s="65"/>
      <c r="AA55" s="65"/>
      <c r="AB55" s="65"/>
    </row>
    <row r="56" spans="1:28" x14ac:dyDescent="0.35">
      <c r="U56" s="65"/>
      <c r="V56" s="65"/>
      <c r="W56" s="65"/>
      <c r="X56" s="65"/>
      <c r="Y56" s="65"/>
      <c r="Z56" s="65"/>
      <c r="AA56" s="65"/>
      <c r="AB56" s="65"/>
    </row>
    <row r="57" spans="1:28" x14ac:dyDescent="0.35">
      <c r="U57" s="65"/>
      <c r="V57" s="65"/>
      <c r="W57" s="65"/>
      <c r="X57" s="65"/>
      <c r="Y57" s="65"/>
      <c r="Z57" s="65"/>
      <c r="AA57" s="65"/>
      <c r="AB57" s="65"/>
    </row>
    <row r="58" spans="1:28" x14ac:dyDescent="0.35">
      <c r="U58" s="65"/>
      <c r="V58" s="65"/>
      <c r="W58" s="65"/>
      <c r="X58" s="65"/>
      <c r="Y58" s="65"/>
      <c r="Z58" s="65"/>
      <c r="AA58" s="65"/>
      <c r="AB58" s="65"/>
    </row>
    <row r="59" spans="1:28" x14ac:dyDescent="0.35">
      <c r="U59" s="65"/>
      <c r="V59" s="65"/>
      <c r="W59" s="65"/>
      <c r="X59" s="65"/>
      <c r="Y59" s="65"/>
      <c r="Z59" s="65"/>
      <c r="AA59" s="65"/>
      <c r="AB59" s="65"/>
    </row>
    <row r="60" spans="1:28" x14ac:dyDescent="0.35">
      <c r="A60" s="65"/>
      <c r="B60" s="65"/>
      <c r="C60" s="65"/>
      <c r="D60" s="65"/>
      <c r="E60" s="65"/>
      <c r="F60" s="65"/>
      <c r="G60" s="65"/>
      <c r="H60" s="65"/>
      <c r="U60" s="65"/>
      <c r="V60" s="65"/>
      <c r="W60" s="65"/>
      <c r="X60" s="65"/>
      <c r="Y60" s="65"/>
      <c r="Z60" s="65"/>
      <c r="AA60" s="65"/>
      <c r="AB60" s="65"/>
    </row>
    <row r="61" spans="1:28" ht="44" thickBot="1" x14ac:dyDescent="0.4">
      <c r="A61" s="65"/>
      <c r="B61" s="46" t="s">
        <v>60</v>
      </c>
      <c r="C61" s="34" t="s">
        <v>79</v>
      </c>
      <c r="D61" s="35" t="s">
        <v>32</v>
      </c>
      <c r="E61" s="35" t="s">
        <v>42</v>
      </c>
      <c r="F61" s="35" t="s">
        <v>34</v>
      </c>
      <c r="G61" s="35" t="s">
        <v>33</v>
      </c>
      <c r="H61" s="35" t="s">
        <v>35</v>
      </c>
      <c r="K61" s="65"/>
      <c r="L61" s="46" t="s">
        <v>60</v>
      </c>
      <c r="M61" s="34" t="s">
        <v>79</v>
      </c>
      <c r="N61" s="35" t="s">
        <v>32</v>
      </c>
      <c r="O61" s="35" t="s">
        <v>42</v>
      </c>
      <c r="P61" s="35" t="s">
        <v>34</v>
      </c>
      <c r="Q61" s="35" t="s">
        <v>33</v>
      </c>
      <c r="R61" s="35" t="s">
        <v>35</v>
      </c>
      <c r="U61" s="65"/>
      <c r="V61" s="46" t="s">
        <v>60</v>
      </c>
      <c r="W61" s="34" t="s">
        <v>79</v>
      </c>
      <c r="X61" s="35" t="s">
        <v>32</v>
      </c>
      <c r="Y61" s="35" t="s">
        <v>42</v>
      </c>
      <c r="Z61" s="35" t="s">
        <v>34</v>
      </c>
      <c r="AA61" s="35" t="s">
        <v>33</v>
      </c>
      <c r="AB61" s="35" t="s">
        <v>35</v>
      </c>
    </row>
    <row r="62" spans="1:28" ht="16" thickBot="1" x14ac:dyDescent="0.4">
      <c r="A62" s="6" t="s">
        <v>1</v>
      </c>
      <c r="B62" s="20">
        <v>8.0141008757000587E-2</v>
      </c>
      <c r="C62" s="23">
        <v>0.29335237761664762</v>
      </c>
      <c r="D62" s="25">
        <v>0.99999999999999978</v>
      </c>
      <c r="E62" s="39">
        <v>0.12382149106058601</v>
      </c>
      <c r="F62" s="39">
        <v>0.12382149078689977</v>
      </c>
      <c r="G62" s="40">
        <v>1.8685192965349914E-2</v>
      </c>
      <c r="H62" s="39">
        <v>0.1366937927096542</v>
      </c>
      <c r="K62" s="6" t="s">
        <v>1</v>
      </c>
      <c r="L62" s="20">
        <v>8.0141008757000587E-2</v>
      </c>
      <c r="M62" s="23">
        <v>0.12050068080756979</v>
      </c>
      <c r="N62" s="25">
        <v>1</v>
      </c>
      <c r="O62" s="39">
        <v>0.24382149106058604</v>
      </c>
      <c r="P62" s="39">
        <v>0.24382149085444776</v>
      </c>
      <c r="Q62" s="40">
        <v>3.4589544609014464E-2</v>
      </c>
      <c r="R62" s="39">
        <v>0.1859826459888515</v>
      </c>
      <c r="U62" s="6" t="s">
        <v>1</v>
      </c>
      <c r="V62" s="20">
        <v>8.0141008757000587E-2</v>
      </c>
      <c r="W62" s="23">
        <v>0</v>
      </c>
      <c r="X62" s="25">
        <v>1</v>
      </c>
      <c r="Y62" s="39">
        <v>0.36382149106058603</v>
      </c>
      <c r="Z62" s="39">
        <v>0.36382149106066075</v>
      </c>
      <c r="AA62" s="40">
        <v>8.2731311139556896E-2</v>
      </c>
      <c r="AB62" s="39">
        <v>0.28763051148923141</v>
      </c>
    </row>
    <row r="63" spans="1:28" ht="15.5" x14ac:dyDescent="0.35">
      <c r="A63" s="6" t="s">
        <v>2</v>
      </c>
      <c r="B63" s="20">
        <v>0.32603851869449318</v>
      </c>
      <c r="C63" s="23">
        <v>0</v>
      </c>
      <c r="D63" s="66"/>
      <c r="E63" s="66"/>
      <c r="F63" s="66"/>
      <c r="G63" s="66"/>
      <c r="H63" s="66"/>
      <c r="K63" s="6" t="s">
        <v>2</v>
      </c>
      <c r="L63" s="20">
        <v>0.32603851869449318</v>
      </c>
      <c r="M63" s="23">
        <v>0</v>
      </c>
      <c r="N63" s="66"/>
      <c r="O63" s="66"/>
      <c r="P63" s="66"/>
      <c r="Q63" s="66"/>
      <c r="R63" s="66"/>
      <c r="U63" s="6" t="s">
        <v>2</v>
      </c>
      <c r="V63" s="20">
        <v>0.32603851869449318</v>
      </c>
      <c r="W63" s="23">
        <v>7.4740933640592991E-2</v>
      </c>
      <c r="X63" s="66"/>
      <c r="Y63" s="66"/>
      <c r="Z63" s="66"/>
      <c r="AA63" s="66"/>
      <c r="AB63" s="66"/>
    </row>
    <row r="64" spans="1:28" ht="15.5" x14ac:dyDescent="0.35">
      <c r="A64" s="6" t="s">
        <v>3</v>
      </c>
      <c r="B64" s="20">
        <v>4.2391280458784326E-2</v>
      </c>
      <c r="C64" s="23">
        <v>0.14353489014200399</v>
      </c>
      <c r="D64" s="66"/>
      <c r="E64" s="66"/>
      <c r="F64" s="66"/>
      <c r="G64" s="66"/>
      <c r="H64" s="66"/>
      <c r="K64" s="6" t="s">
        <v>3</v>
      </c>
      <c r="L64" s="20">
        <v>4.2391280458784326E-2</v>
      </c>
      <c r="M64" s="23">
        <v>0</v>
      </c>
      <c r="N64" s="66"/>
      <c r="O64" s="66"/>
      <c r="P64" s="66"/>
      <c r="Q64" s="66"/>
      <c r="R64" s="66"/>
      <c r="U64" s="6" t="s">
        <v>3</v>
      </c>
      <c r="V64" s="20">
        <v>4.2391280458784326E-2</v>
      </c>
      <c r="W64" s="23">
        <v>0</v>
      </c>
      <c r="X64" s="66"/>
      <c r="Y64" s="66"/>
      <c r="Z64" s="66"/>
      <c r="AA64" s="66"/>
      <c r="AB64" s="66"/>
    </row>
    <row r="65" spans="1:28" ht="15.5" x14ac:dyDescent="0.35">
      <c r="A65" s="6" t="s">
        <v>4</v>
      </c>
      <c r="B65" s="20">
        <v>0.27105391138211221</v>
      </c>
      <c r="C65" s="23">
        <v>0</v>
      </c>
      <c r="D65" s="66"/>
      <c r="E65" s="66"/>
      <c r="F65" s="66"/>
      <c r="G65" s="66"/>
      <c r="H65" s="66"/>
      <c r="K65" s="6" t="s">
        <v>4</v>
      </c>
      <c r="L65" s="20">
        <v>0.27105391138211221</v>
      </c>
      <c r="M65" s="23">
        <v>0.13561639492018399</v>
      </c>
      <c r="N65" s="66"/>
      <c r="O65" s="66"/>
      <c r="P65" s="66"/>
      <c r="Q65" s="66"/>
      <c r="R65" s="66"/>
      <c r="U65" s="6" t="s">
        <v>4</v>
      </c>
      <c r="V65" s="20">
        <v>0.27105391138211221</v>
      </c>
      <c r="W65" s="23">
        <v>0</v>
      </c>
      <c r="X65" s="66"/>
      <c r="Y65" s="66"/>
      <c r="Z65" s="66"/>
      <c r="AA65" s="66"/>
      <c r="AB65" s="66"/>
    </row>
    <row r="66" spans="1:28" ht="15.5" x14ac:dyDescent="0.35">
      <c r="A66" s="6" t="s">
        <v>5</v>
      </c>
      <c r="B66" s="20">
        <v>0.13670020780747316</v>
      </c>
      <c r="C66" s="23">
        <v>0</v>
      </c>
      <c r="D66" s="65"/>
      <c r="E66" s="65"/>
      <c r="F66" s="65"/>
      <c r="G66" s="65"/>
      <c r="H66" s="65"/>
      <c r="K66" s="6" t="s">
        <v>5</v>
      </c>
      <c r="L66" s="20">
        <v>0.13670020780747316</v>
      </c>
      <c r="M66" s="23">
        <v>0</v>
      </c>
      <c r="N66" s="65"/>
      <c r="O66" s="65"/>
      <c r="P66" s="65"/>
      <c r="Q66" s="65"/>
      <c r="R66" s="65"/>
      <c r="U66" s="6" t="s">
        <v>5</v>
      </c>
      <c r="V66" s="20">
        <v>0.13670020780747316</v>
      </c>
      <c r="W66" s="23">
        <v>0</v>
      </c>
      <c r="X66" s="65"/>
      <c r="Y66" s="65"/>
      <c r="Z66" s="65"/>
      <c r="AA66" s="65"/>
      <c r="AB66" s="65"/>
    </row>
    <row r="67" spans="1:28" ht="15.5" x14ac:dyDescent="0.35">
      <c r="A67" s="6" t="s">
        <v>6</v>
      </c>
      <c r="B67" s="20">
        <v>0.11676615658866349</v>
      </c>
      <c r="C67" s="23">
        <v>1.0700404116472044E-2</v>
      </c>
      <c r="D67" s="65"/>
      <c r="E67" s="65"/>
      <c r="F67" s="65"/>
      <c r="G67" s="65"/>
      <c r="H67" s="65"/>
      <c r="K67" s="6" t="s">
        <v>6</v>
      </c>
      <c r="L67" s="20">
        <v>0.11676615658866349</v>
      </c>
      <c r="M67" s="23">
        <v>0</v>
      </c>
      <c r="N67" s="65"/>
      <c r="O67" s="65"/>
      <c r="P67" s="65"/>
      <c r="Q67" s="65"/>
      <c r="R67" s="65"/>
      <c r="U67" s="6" t="s">
        <v>6</v>
      </c>
      <c r="V67" s="20">
        <v>0.11676615658866349</v>
      </c>
      <c r="W67" s="23">
        <v>0</v>
      </c>
      <c r="X67" s="65"/>
      <c r="Y67" s="65"/>
      <c r="Z67" s="65"/>
      <c r="AA67" s="65"/>
      <c r="AB67" s="65"/>
    </row>
    <row r="68" spans="1:28" ht="15.5" x14ac:dyDescent="0.35">
      <c r="A68" s="6" t="s">
        <v>7</v>
      </c>
      <c r="B68" s="20">
        <v>0.19109489942337862</v>
      </c>
      <c r="C68" s="23">
        <v>0.22827834404062691</v>
      </c>
      <c r="D68" s="65"/>
      <c r="E68" s="65"/>
      <c r="F68" s="65"/>
      <c r="G68" s="65"/>
      <c r="H68" s="65"/>
      <c r="K68" s="6" t="s">
        <v>7</v>
      </c>
      <c r="L68" s="20">
        <v>0.19109489942337862</v>
      </c>
      <c r="M68" s="23">
        <v>0.29588673608877125</v>
      </c>
      <c r="N68" s="65"/>
      <c r="O68" s="65"/>
      <c r="P68" s="65"/>
      <c r="Q68" s="65"/>
      <c r="R68" s="65"/>
      <c r="U68" s="6" t="s">
        <v>7</v>
      </c>
      <c r="V68" s="20">
        <v>0.19109489942337862</v>
      </c>
      <c r="W68" s="23">
        <v>0</v>
      </c>
      <c r="X68" s="65"/>
      <c r="Y68" s="65"/>
      <c r="Z68" s="65"/>
      <c r="AA68" s="65"/>
      <c r="AB68" s="65"/>
    </row>
    <row r="69" spans="1:28" ht="15.5" x14ac:dyDescent="0.35">
      <c r="A69" s="6" t="s">
        <v>8</v>
      </c>
      <c r="B69" s="20">
        <v>-3.7197964699965641E-2</v>
      </c>
      <c r="C69" s="23">
        <v>0</v>
      </c>
      <c r="D69" s="65"/>
      <c r="E69" s="65"/>
      <c r="F69" s="65"/>
      <c r="G69" s="65"/>
      <c r="H69" s="65"/>
      <c r="K69" s="6" t="s">
        <v>8</v>
      </c>
      <c r="L69" s="20">
        <v>-3.7197964699965641E-2</v>
      </c>
      <c r="M69" s="23">
        <v>0</v>
      </c>
      <c r="N69" s="65"/>
      <c r="O69" s="65"/>
      <c r="P69" s="65"/>
      <c r="Q69" s="65"/>
      <c r="R69" s="65"/>
      <c r="U69" s="6" t="s">
        <v>8</v>
      </c>
      <c r="V69" s="20">
        <v>-3.7197964699965641E-2</v>
      </c>
      <c r="W69" s="23">
        <v>0</v>
      </c>
      <c r="X69" s="65"/>
      <c r="Y69" s="65"/>
      <c r="Z69" s="65"/>
      <c r="AA69" s="65"/>
      <c r="AB69" s="65"/>
    </row>
    <row r="70" spans="1:28" ht="15.5" x14ac:dyDescent="0.35">
      <c r="A70" s="6" t="s">
        <v>9</v>
      </c>
      <c r="B70" s="20">
        <v>0.15975950333029129</v>
      </c>
      <c r="C70" s="23">
        <v>9.7454371633075715E-2</v>
      </c>
      <c r="D70" s="65"/>
      <c r="E70" s="65"/>
      <c r="F70" s="65"/>
      <c r="G70" s="65"/>
      <c r="H70" s="65"/>
      <c r="K70" s="6" t="s">
        <v>9</v>
      </c>
      <c r="L70" s="20">
        <v>0.15975950333029129</v>
      </c>
      <c r="M70" s="23">
        <v>0</v>
      </c>
      <c r="N70" s="65"/>
      <c r="O70" s="65"/>
      <c r="P70" s="65"/>
      <c r="Q70" s="65"/>
      <c r="R70" s="65"/>
      <c r="U70" s="6" t="s">
        <v>9</v>
      </c>
      <c r="V70" s="20">
        <v>0.15975950333029129</v>
      </c>
      <c r="W70" s="23">
        <v>0</v>
      </c>
      <c r="X70" s="65"/>
      <c r="Y70" s="65"/>
      <c r="Z70" s="65"/>
      <c r="AA70" s="65"/>
      <c r="AB70" s="65"/>
    </row>
    <row r="71" spans="1:28" ht="15.5" x14ac:dyDescent="0.35">
      <c r="A71" s="6" t="s">
        <v>10</v>
      </c>
      <c r="B71" s="20">
        <v>0.1096751689273163</v>
      </c>
      <c r="C71" s="23">
        <v>0.16409431162628937</v>
      </c>
      <c r="D71" s="65"/>
      <c r="E71" s="65"/>
      <c r="F71" s="65"/>
      <c r="G71" s="65"/>
      <c r="H71" s="65"/>
      <c r="K71" s="6" t="s">
        <v>10</v>
      </c>
      <c r="L71" s="20">
        <v>0.1096751689273163</v>
      </c>
      <c r="M71" s="23">
        <v>6.8129570821376245E-2</v>
      </c>
      <c r="N71" s="65"/>
      <c r="O71" s="65"/>
      <c r="P71" s="65"/>
      <c r="Q71" s="65"/>
      <c r="R71" s="65"/>
      <c r="U71" s="6" t="s">
        <v>10</v>
      </c>
      <c r="V71" s="20">
        <v>0.1096751689273163</v>
      </c>
      <c r="W71" s="23">
        <v>0</v>
      </c>
      <c r="X71" s="65"/>
      <c r="Y71" s="65"/>
      <c r="Z71" s="65"/>
      <c r="AA71" s="65"/>
      <c r="AB71" s="65"/>
    </row>
    <row r="72" spans="1:28" ht="15.5" x14ac:dyDescent="0.35">
      <c r="A72" s="6" t="s">
        <v>11</v>
      </c>
      <c r="B72" s="20">
        <v>0.3668735385715004</v>
      </c>
      <c r="C72" s="23">
        <v>1.7699173497628749E-2</v>
      </c>
      <c r="D72" s="65"/>
      <c r="E72" s="65"/>
      <c r="F72" s="65"/>
      <c r="G72" s="65"/>
      <c r="H72" s="65"/>
      <c r="K72" s="6" t="s">
        <v>11</v>
      </c>
      <c r="L72" s="20">
        <v>0.3668735385715004</v>
      </c>
      <c r="M72" s="23">
        <v>0.34248864831940518</v>
      </c>
      <c r="N72" s="65"/>
      <c r="O72" s="65"/>
      <c r="P72" s="65"/>
      <c r="Q72" s="65"/>
      <c r="R72" s="65"/>
      <c r="U72" s="6" t="s">
        <v>11</v>
      </c>
      <c r="V72" s="20">
        <v>0.3668735385715004</v>
      </c>
      <c r="W72" s="23">
        <v>0.92525906635940702</v>
      </c>
      <c r="X72" s="65"/>
      <c r="Y72" s="65"/>
      <c r="Z72" s="65"/>
      <c r="AA72" s="65"/>
      <c r="AB72" s="65"/>
    </row>
    <row r="73" spans="1:28" ht="16" thickBot="1" x14ac:dyDescent="0.4">
      <c r="A73" s="6" t="s">
        <v>12</v>
      </c>
      <c r="B73" s="21">
        <v>0.20708722422129289</v>
      </c>
      <c r="C73" s="24">
        <v>4.4886127327255443E-2</v>
      </c>
      <c r="D73" s="65"/>
      <c r="E73" s="65"/>
      <c r="F73" s="65"/>
      <c r="G73" s="65"/>
      <c r="H73" s="65"/>
      <c r="K73" s="6" t="s">
        <v>12</v>
      </c>
      <c r="L73" s="21">
        <v>0.20708722422129289</v>
      </c>
      <c r="M73" s="24">
        <v>3.737796904269354E-2</v>
      </c>
      <c r="N73" s="65"/>
      <c r="O73" s="65"/>
      <c r="P73" s="65"/>
      <c r="Q73" s="65"/>
      <c r="R73" s="65"/>
      <c r="U73" s="6" t="s">
        <v>12</v>
      </c>
      <c r="V73" s="21">
        <v>0.20708722422129289</v>
      </c>
      <c r="W73" s="24">
        <v>0</v>
      </c>
      <c r="X73" s="65"/>
      <c r="Y73" s="65"/>
      <c r="Z73" s="65"/>
      <c r="AA73" s="65"/>
      <c r="AB73" s="65"/>
    </row>
    <row r="74" spans="1:28" x14ac:dyDescent="0.35">
      <c r="A74" s="65"/>
      <c r="B74" s="65"/>
      <c r="C74" s="65"/>
      <c r="D74" s="65"/>
      <c r="E74" s="65"/>
      <c r="F74" s="65"/>
      <c r="G74" s="65"/>
      <c r="H74" s="65"/>
      <c r="K74" s="65"/>
      <c r="L74" s="65"/>
      <c r="M74" s="65"/>
      <c r="N74" s="65"/>
      <c r="O74" s="65"/>
      <c r="P74" s="65"/>
      <c r="Q74" s="65"/>
      <c r="R74" s="65"/>
      <c r="U74" s="65"/>
      <c r="V74" s="65"/>
      <c r="W74" s="65"/>
      <c r="X74" s="65"/>
      <c r="Y74" s="65"/>
      <c r="Z74" s="65"/>
      <c r="AA74" s="65"/>
      <c r="AB74" s="65"/>
    </row>
    <row r="75" spans="1:28" x14ac:dyDescent="0.35">
      <c r="A75" s="65"/>
      <c r="B75" s="65"/>
      <c r="C75" s="65"/>
      <c r="D75" s="65"/>
      <c r="E75" s="65"/>
      <c r="F75" s="65"/>
      <c r="G75" s="65"/>
      <c r="H75" s="65"/>
      <c r="K75" s="65"/>
      <c r="L75" s="65"/>
      <c r="M75" s="65"/>
      <c r="N75" s="65"/>
      <c r="O75" s="65"/>
      <c r="P75" s="65"/>
      <c r="Q75" s="65"/>
      <c r="R75" s="65"/>
      <c r="U75" s="65"/>
      <c r="V75" s="65"/>
      <c r="W75" s="65"/>
      <c r="X75" s="65"/>
      <c r="Y75" s="65"/>
      <c r="Z75" s="65"/>
      <c r="AA75" s="65"/>
      <c r="AB75" s="65"/>
    </row>
    <row r="76" spans="1:28" ht="44" thickBot="1" x14ac:dyDescent="0.4">
      <c r="A76" s="65"/>
      <c r="B76" s="46" t="s">
        <v>60</v>
      </c>
      <c r="C76" s="34" t="s">
        <v>79</v>
      </c>
      <c r="D76" s="35" t="s">
        <v>32</v>
      </c>
      <c r="E76" s="35" t="s">
        <v>42</v>
      </c>
      <c r="F76" s="35" t="s">
        <v>34</v>
      </c>
      <c r="G76" s="35" t="s">
        <v>33</v>
      </c>
      <c r="H76" s="35" t="s">
        <v>35</v>
      </c>
      <c r="K76" s="65"/>
      <c r="L76" s="46" t="s">
        <v>60</v>
      </c>
      <c r="M76" s="34" t="s">
        <v>79</v>
      </c>
      <c r="N76" s="35" t="s">
        <v>32</v>
      </c>
      <c r="O76" s="35" t="s">
        <v>42</v>
      </c>
      <c r="P76" s="35" t="s">
        <v>34</v>
      </c>
      <c r="Q76" s="35" t="s">
        <v>33</v>
      </c>
      <c r="R76" s="35" t="s">
        <v>35</v>
      </c>
      <c r="U76" s="65"/>
      <c r="V76" s="65"/>
      <c r="W76" s="65"/>
      <c r="X76" s="65"/>
      <c r="Y76" s="65"/>
      <c r="Z76" s="65"/>
      <c r="AA76" s="65"/>
      <c r="AB76" s="65"/>
    </row>
    <row r="77" spans="1:28" ht="16" thickBot="1" x14ac:dyDescent="0.4">
      <c r="A77" s="6" t="s">
        <v>1</v>
      </c>
      <c r="B77" s="20">
        <v>8.0141008757000587E-2</v>
      </c>
      <c r="C77" s="23">
        <v>0.28049529714923899</v>
      </c>
      <c r="D77" s="25">
        <v>1</v>
      </c>
      <c r="E77" s="39">
        <v>0.143821491060586</v>
      </c>
      <c r="F77" s="39">
        <v>0.14382149139227171</v>
      </c>
      <c r="G77" s="40">
        <v>2.0194183384742097E-2</v>
      </c>
      <c r="H77" s="39">
        <v>0.14210623978116546</v>
      </c>
      <c r="K77" s="6" t="s">
        <v>1</v>
      </c>
      <c r="L77" s="20">
        <v>8.0141008757000587E-2</v>
      </c>
      <c r="M77" s="23">
        <v>7.1782294826848198E-2</v>
      </c>
      <c r="N77" s="25">
        <v>1</v>
      </c>
      <c r="O77" s="39">
        <v>0.263821491060586</v>
      </c>
      <c r="P77" s="39">
        <v>0.26382149085450213</v>
      </c>
      <c r="Q77" s="40">
        <v>3.9063315746614174E-2</v>
      </c>
      <c r="R77" s="39">
        <v>0.19764441744358521</v>
      </c>
      <c r="U77" s="65"/>
      <c r="V77" s="65"/>
      <c r="W77" s="65"/>
      <c r="X77" s="65"/>
      <c r="Y77" s="65"/>
      <c r="Z77" s="65"/>
      <c r="AA77" s="65"/>
      <c r="AB77" s="65"/>
    </row>
    <row r="78" spans="1:28" ht="15.5" x14ac:dyDescent="0.35">
      <c r="A78" s="6" t="s">
        <v>2</v>
      </c>
      <c r="B78" s="20">
        <v>0.32603851869449318</v>
      </c>
      <c r="C78" s="23">
        <v>0</v>
      </c>
      <c r="D78" s="66"/>
      <c r="E78" s="66"/>
      <c r="F78" s="66"/>
      <c r="G78" s="66"/>
      <c r="H78" s="66"/>
      <c r="K78" s="6" t="s">
        <v>2</v>
      </c>
      <c r="L78" s="20">
        <v>0.32603851869449318</v>
      </c>
      <c r="M78" s="23">
        <v>0</v>
      </c>
      <c r="N78" s="66"/>
      <c r="O78" s="66"/>
      <c r="P78" s="66"/>
      <c r="Q78" s="66"/>
      <c r="R78" s="66"/>
      <c r="U78" s="65"/>
      <c r="V78" s="65"/>
      <c r="W78" s="65"/>
      <c r="X78" s="65"/>
      <c r="Y78" s="65"/>
      <c r="Z78" s="65"/>
      <c r="AA78" s="65"/>
      <c r="AB78" s="65"/>
    </row>
    <row r="79" spans="1:28" ht="15.5" x14ac:dyDescent="0.35">
      <c r="A79" s="6" t="s">
        <v>3</v>
      </c>
      <c r="B79" s="20">
        <v>4.2391280458784326E-2</v>
      </c>
      <c r="C79" s="23">
        <v>0.10526994234098692</v>
      </c>
      <c r="D79" s="66"/>
      <c r="E79" s="66"/>
      <c r="F79" s="66"/>
      <c r="G79" s="66"/>
      <c r="H79" s="66"/>
      <c r="K79" s="6" t="s">
        <v>3</v>
      </c>
      <c r="L79" s="20">
        <v>4.2391280458784326E-2</v>
      </c>
      <c r="M79" s="23">
        <v>0</v>
      </c>
      <c r="N79" s="66"/>
      <c r="O79" s="66"/>
      <c r="P79" s="66"/>
      <c r="Q79" s="66"/>
      <c r="R79" s="66"/>
      <c r="U79" s="65"/>
      <c r="V79" s="65"/>
      <c r="W79" s="65"/>
      <c r="X79" s="65"/>
      <c r="Y79" s="65"/>
      <c r="Z79" s="65"/>
      <c r="AA79" s="65"/>
      <c r="AB79" s="65"/>
    </row>
    <row r="80" spans="1:28" ht="15.5" x14ac:dyDescent="0.35">
      <c r="A80" s="6" t="s">
        <v>4</v>
      </c>
      <c r="B80" s="20">
        <v>0.27105391138211221</v>
      </c>
      <c r="C80" s="23">
        <v>0</v>
      </c>
      <c r="D80" s="66"/>
      <c r="E80" s="66"/>
      <c r="F80" s="66"/>
      <c r="G80" s="66"/>
      <c r="H80" s="66"/>
      <c r="K80" s="6" t="s">
        <v>4</v>
      </c>
      <c r="L80" s="20">
        <v>0.27105391138211221</v>
      </c>
      <c r="M80" s="23">
        <v>0.17836093236060382</v>
      </c>
      <c r="N80" s="66"/>
      <c r="O80" s="66"/>
      <c r="P80" s="66"/>
      <c r="Q80" s="66"/>
      <c r="R80" s="66"/>
      <c r="U80" s="65"/>
      <c r="V80" s="65"/>
      <c r="W80" s="65"/>
      <c r="X80" s="65"/>
      <c r="Y80" s="65"/>
      <c r="Z80" s="65"/>
      <c r="AA80" s="65"/>
      <c r="AB80" s="65"/>
    </row>
    <row r="81" spans="1:28" ht="15.5" x14ac:dyDescent="0.35">
      <c r="A81" s="6" t="s">
        <v>5</v>
      </c>
      <c r="B81" s="20">
        <v>0.13670020780747316</v>
      </c>
      <c r="C81" s="23">
        <v>0</v>
      </c>
      <c r="D81" s="65"/>
      <c r="E81" s="65"/>
      <c r="F81" s="65"/>
      <c r="G81" s="65"/>
      <c r="H81" s="65"/>
      <c r="K81" s="6" t="s">
        <v>5</v>
      </c>
      <c r="L81" s="20">
        <v>0.13670020780747316</v>
      </c>
      <c r="M81" s="23">
        <v>0</v>
      </c>
      <c r="N81" s="65"/>
      <c r="O81" s="65"/>
      <c r="P81" s="65"/>
      <c r="Q81" s="65"/>
      <c r="R81" s="65"/>
      <c r="U81" s="65"/>
      <c r="V81" s="65"/>
      <c r="W81" s="65"/>
      <c r="X81" s="65"/>
      <c r="Y81" s="65"/>
      <c r="Z81" s="65"/>
      <c r="AA81" s="65"/>
      <c r="AB81" s="65"/>
    </row>
    <row r="82" spans="1:28" ht="15.5" x14ac:dyDescent="0.35">
      <c r="A82" s="6" t="s">
        <v>6</v>
      </c>
      <c r="B82" s="20">
        <v>0.11676615658866349</v>
      </c>
      <c r="C82" s="23">
        <v>0</v>
      </c>
      <c r="D82" s="65"/>
      <c r="E82" s="65"/>
      <c r="F82" s="65"/>
      <c r="G82" s="65"/>
      <c r="H82" s="65"/>
      <c r="K82" s="6" t="s">
        <v>6</v>
      </c>
      <c r="L82" s="20">
        <v>0.11676615658866349</v>
      </c>
      <c r="M82" s="23">
        <v>0</v>
      </c>
      <c r="N82" s="65"/>
      <c r="O82" s="65"/>
      <c r="P82" s="65"/>
      <c r="Q82" s="65"/>
      <c r="R82" s="65"/>
      <c r="U82" s="65"/>
      <c r="V82" s="65"/>
      <c r="W82" s="65"/>
      <c r="X82" s="65"/>
      <c r="Y82" s="65"/>
      <c r="Z82" s="65"/>
      <c r="AA82" s="65"/>
      <c r="AB82" s="65"/>
    </row>
    <row r="83" spans="1:28" ht="15.5" x14ac:dyDescent="0.35">
      <c r="A83" s="6" t="s">
        <v>7</v>
      </c>
      <c r="B83" s="20">
        <v>0.19109489942337862</v>
      </c>
      <c r="C83" s="23">
        <v>0.23198022639458377</v>
      </c>
      <c r="D83" s="65"/>
      <c r="E83" s="65"/>
      <c r="F83" s="65"/>
      <c r="G83" s="65"/>
      <c r="H83" s="65"/>
      <c r="K83" s="6" t="s">
        <v>7</v>
      </c>
      <c r="L83" s="20">
        <v>0.19109489942337862</v>
      </c>
      <c r="M83" s="23">
        <v>0.31379207877845794</v>
      </c>
      <c r="N83" s="65"/>
      <c r="O83" s="65"/>
      <c r="P83" s="65"/>
      <c r="Q83" s="65"/>
      <c r="R83" s="65"/>
      <c r="U83" s="65"/>
      <c r="V83" s="65"/>
      <c r="W83" s="65"/>
      <c r="X83" s="65"/>
      <c r="Y83" s="65"/>
      <c r="Z83" s="65"/>
      <c r="AA83" s="65"/>
      <c r="AB83" s="65"/>
    </row>
    <row r="84" spans="1:28" ht="15.5" x14ac:dyDescent="0.35">
      <c r="A84" s="6" t="s">
        <v>8</v>
      </c>
      <c r="B84" s="20">
        <v>-3.7197964699965641E-2</v>
      </c>
      <c r="C84" s="23">
        <v>0</v>
      </c>
      <c r="D84" s="65"/>
      <c r="E84" s="65"/>
      <c r="F84" s="65"/>
      <c r="G84" s="65"/>
      <c r="H84" s="65"/>
      <c r="K84" s="6" t="s">
        <v>8</v>
      </c>
      <c r="L84" s="20">
        <v>-3.7197964699965641E-2</v>
      </c>
      <c r="M84" s="23">
        <v>0</v>
      </c>
      <c r="N84" s="65"/>
      <c r="O84" s="65"/>
      <c r="P84" s="65"/>
      <c r="Q84" s="65"/>
      <c r="R84" s="65"/>
      <c r="U84" s="65"/>
      <c r="V84" s="65"/>
      <c r="W84" s="65"/>
      <c r="X84" s="65"/>
      <c r="Y84" s="65"/>
      <c r="Z84" s="65"/>
      <c r="AA84" s="65"/>
      <c r="AB84" s="65"/>
    </row>
    <row r="85" spans="1:28" ht="15.5" x14ac:dyDescent="0.35">
      <c r="A85" s="6" t="s">
        <v>9</v>
      </c>
      <c r="B85" s="20">
        <v>0.15975950333029129</v>
      </c>
      <c r="C85" s="23">
        <v>6.6658636796109325E-2</v>
      </c>
      <c r="D85" s="65"/>
      <c r="E85" s="65"/>
      <c r="F85" s="65"/>
      <c r="G85" s="65"/>
      <c r="H85" s="65"/>
      <c r="K85" s="6" t="s">
        <v>9</v>
      </c>
      <c r="L85" s="20">
        <v>0.15975950333029129</v>
      </c>
      <c r="M85" s="23">
        <v>0</v>
      </c>
      <c r="N85" s="65"/>
      <c r="O85" s="65"/>
      <c r="P85" s="65"/>
      <c r="Q85" s="65"/>
      <c r="R85" s="65"/>
      <c r="U85" s="65"/>
      <c r="V85" s="65"/>
      <c r="W85" s="65"/>
      <c r="X85" s="65"/>
      <c r="Y85" s="65"/>
      <c r="Z85" s="65"/>
      <c r="AA85" s="65"/>
      <c r="AB85" s="65"/>
    </row>
    <row r="86" spans="1:28" ht="15.5" x14ac:dyDescent="0.35">
      <c r="A86" s="6" t="s">
        <v>10</v>
      </c>
      <c r="B86" s="20">
        <v>0.1096751689273163</v>
      </c>
      <c r="C86" s="23">
        <v>0.16863381842330363</v>
      </c>
      <c r="D86" s="65"/>
      <c r="E86" s="65"/>
      <c r="F86" s="65"/>
      <c r="G86" s="65"/>
      <c r="H86" s="65"/>
      <c r="K86" s="6" t="s">
        <v>10</v>
      </c>
      <c r="L86" s="20">
        <v>0.1096751689273163</v>
      </c>
      <c r="M86" s="23">
        <v>2.9650577471963153E-2</v>
      </c>
      <c r="N86" s="65"/>
      <c r="O86" s="65"/>
      <c r="P86" s="65"/>
      <c r="Q86" s="65"/>
      <c r="R86" s="65"/>
      <c r="U86" s="65"/>
      <c r="V86" s="65"/>
      <c r="W86" s="65"/>
      <c r="X86" s="65"/>
      <c r="Y86" s="65"/>
      <c r="Z86" s="65"/>
      <c r="AA86" s="65"/>
      <c r="AB86" s="65"/>
    </row>
    <row r="87" spans="1:28" ht="15.5" x14ac:dyDescent="0.35">
      <c r="A87" s="6" t="s">
        <v>11</v>
      </c>
      <c r="B87" s="20">
        <v>0.3668735385715004</v>
      </c>
      <c r="C87" s="23">
        <v>8.1178963825356248E-2</v>
      </c>
      <c r="D87" s="65"/>
      <c r="E87" s="65"/>
      <c r="F87" s="65"/>
      <c r="G87" s="65"/>
      <c r="H87" s="65"/>
      <c r="K87" s="6" t="s">
        <v>11</v>
      </c>
      <c r="L87" s="20">
        <v>0.3668735385715004</v>
      </c>
      <c r="M87" s="23">
        <v>0.39017226303368246</v>
      </c>
      <c r="N87" s="65"/>
      <c r="O87" s="65"/>
      <c r="P87" s="65"/>
      <c r="Q87" s="65"/>
      <c r="R87" s="65"/>
      <c r="U87" s="65"/>
      <c r="V87" s="65"/>
      <c r="W87" s="65"/>
      <c r="X87" s="65"/>
      <c r="Y87" s="65"/>
      <c r="Z87" s="65"/>
      <c r="AA87" s="65"/>
      <c r="AB87" s="65"/>
    </row>
    <row r="88" spans="1:28" ht="16" thickBot="1" x14ac:dyDescent="0.4">
      <c r="A88" s="6" t="s">
        <v>12</v>
      </c>
      <c r="B88" s="21">
        <v>0.20708722422129289</v>
      </c>
      <c r="C88" s="24">
        <v>6.5783115070421339E-2</v>
      </c>
      <c r="D88" s="65"/>
      <c r="E88" s="65"/>
      <c r="F88" s="65"/>
      <c r="G88" s="65"/>
      <c r="H88" s="65"/>
      <c r="K88" s="6" t="s">
        <v>12</v>
      </c>
      <c r="L88" s="21">
        <v>0.20708722422129289</v>
      </c>
      <c r="M88" s="24">
        <v>1.6241853528444386E-2</v>
      </c>
      <c r="N88" s="65"/>
      <c r="O88" s="65"/>
      <c r="P88" s="65"/>
      <c r="Q88" s="65"/>
      <c r="R88" s="65"/>
      <c r="U88" s="65"/>
      <c r="V88" s="65"/>
      <c r="W88" s="65"/>
      <c r="X88" s="65"/>
      <c r="Y88" s="65"/>
      <c r="Z88" s="65"/>
      <c r="AA88" s="65"/>
      <c r="AB88" s="65"/>
    </row>
    <row r="89" spans="1:28" x14ac:dyDescent="0.35">
      <c r="A89" s="65"/>
      <c r="B89" s="65"/>
      <c r="C89" s="65"/>
      <c r="D89" s="65"/>
      <c r="E89" s="65"/>
      <c r="F89" s="65"/>
      <c r="G89" s="65"/>
      <c r="H89" s="65"/>
      <c r="K89" s="65"/>
      <c r="L89" s="65"/>
      <c r="M89" s="65"/>
      <c r="N89" s="65"/>
      <c r="O89" s="65"/>
      <c r="P89" s="65"/>
      <c r="Q89" s="65"/>
      <c r="R89" s="65"/>
      <c r="U89" s="65"/>
      <c r="V89" s="65"/>
      <c r="W89" s="65"/>
      <c r="X89" s="65"/>
      <c r="Y89" s="65"/>
      <c r="Z89" s="65"/>
      <c r="AA89" s="65"/>
      <c r="AB89" s="65"/>
    </row>
    <row r="90" spans="1:28" x14ac:dyDescent="0.35">
      <c r="A90" s="65"/>
      <c r="B90" s="65"/>
      <c r="C90" s="65"/>
      <c r="D90" s="65"/>
      <c r="E90" s="65"/>
      <c r="F90" s="65"/>
      <c r="G90" s="65"/>
      <c r="H90" s="65"/>
      <c r="K90" s="65"/>
      <c r="L90" s="65"/>
      <c r="M90" s="65"/>
      <c r="N90" s="65"/>
      <c r="O90" s="65"/>
      <c r="P90" s="65"/>
      <c r="Q90" s="65"/>
      <c r="R90" s="65"/>
      <c r="U90" s="65"/>
      <c r="V90" s="65"/>
      <c r="W90" s="65"/>
      <c r="X90" s="65"/>
      <c r="Y90" s="65"/>
      <c r="Z90" s="65"/>
      <c r="AA90" s="65"/>
      <c r="AB90" s="65"/>
    </row>
    <row r="91" spans="1:28" ht="44" thickBot="1" x14ac:dyDescent="0.4">
      <c r="A91" s="65"/>
      <c r="B91" s="46" t="s">
        <v>60</v>
      </c>
      <c r="C91" s="34" t="s">
        <v>79</v>
      </c>
      <c r="D91" s="35" t="s">
        <v>32</v>
      </c>
      <c r="E91" s="35" t="s">
        <v>42</v>
      </c>
      <c r="F91" s="35" t="s">
        <v>34</v>
      </c>
      <c r="G91" s="35" t="s">
        <v>33</v>
      </c>
      <c r="H91" s="35" t="s">
        <v>35</v>
      </c>
      <c r="K91" s="65"/>
      <c r="L91" s="46" t="s">
        <v>60</v>
      </c>
      <c r="M91" s="34" t="s">
        <v>79</v>
      </c>
      <c r="N91" s="35" t="s">
        <v>32</v>
      </c>
      <c r="O91" s="35" t="s">
        <v>42</v>
      </c>
      <c r="P91" s="35" t="s">
        <v>34</v>
      </c>
      <c r="Q91" s="35" t="s">
        <v>33</v>
      </c>
      <c r="R91" s="35" t="s">
        <v>35</v>
      </c>
      <c r="U91" s="65"/>
      <c r="V91" s="65"/>
      <c r="W91" s="65"/>
      <c r="X91" s="65"/>
      <c r="Y91" s="65"/>
      <c r="Z91" s="65"/>
      <c r="AA91" s="65"/>
      <c r="AB91" s="65"/>
    </row>
    <row r="92" spans="1:28" ht="16" thickBot="1" x14ac:dyDescent="0.4">
      <c r="A92" s="6" t="s">
        <v>1</v>
      </c>
      <c r="B92" s="20">
        <v>8.0141008757000587E-2</v>
      </c>
      <c r="C92" s="23">
        <v>0.26453703684632007</v>
      </c>
      <c r="D92" s="25">
        <v>1</v>
      </c>
      <c r="E92" s="39">
        <v>0.16382149106058602</v>
      </c>
      <c r="F92" s="39">
        <v>0.16382149132534046</v>
      </c>
      <c r="G92" s="40">
        <v>2.2148119788014422E-2</v>
      </c>
      <c r="H92" s="39">
        <v>0.14882244383161575</v>
      </c>
      <c r="K92" s="6" t="s">
        <v>1</v>
      </c>
      <c r="L92" s="20">
        <v>8.0141008757000587E-2</v>
      </c>
      <c r="M92" s="23">
        <v>1.6052451705828346E-2</v>
      </c>
      <c r="N92" s="25">
        <v>1</v>
      </c>
      <c r="O92" s="39">
        <v>0.28382149106058602</v>
      </c>
      <c r="P92" s="39">
        <v>0.28382149064630213</v>
      </c>
      <c r="Q92" s="40">
        <v>4.4109040078626718E-2</v>
      </c>
      <c r="R92" s="39">
        <v>0.21002152289378992</v>
      </c>
      <c r="U92" s="65"/>
      <c r="V92" s="65"/>
      <c r="W92" s="65"/>
      <c r="X92" s="65"/>
      <c r="Y92" s="65"/>
      <c r="Z92" s="65"/>
      <c r="AA92" s="65"/>
      <c r="AB92" s="65"/>
    </row>
    <row r="93" spans="1:28" ht="15.5" x14ac:dyDescent="0.35">
      <c r="A93" s="6" t="s">
        <v>2</v>
      </c>
      <c r="B93" s="20">
        <v>0.32603851869449318</v>
      </c>
      <c r="C93" s="23">
        <v>0</v>
      </c>
      <c r="D93" s="66"/>
      <c r="E93" s="66"/>
      <c r="F93" s="66"/>
      <c r="G93" s="66"/>
      <c r="H93" s="66"/>
      <c r="K93" s="6" t="s">
        <v>2</v>
      </c>
      <c r="L93" s="20">
        <v>0.32603851869449318</v>
      </c>
      <c r="M93" s="23">
        <v>0</v>
      </c>
      <c r="N93" s="66"/>
      <c r="O93" s="66"/>
      <c r="P93" s="66"/>
      <c r="Q93" s="66"/>
      <c r="R93" s="66"/>
      <c r="U93" s="65"/>
      <c r="V93" s="65"/>
      <c r="W93" s="65"/>
      <c r="X93" s="65"/>
      <c r="Y93" s="65"/>
      <c r="Z93" s="65"/>
      <c r="AA93" s="65"/>
      <c r="AB93" s="65"/>
    </row>
    <row r="94" spans="1:28" ht="15.5" x14ac:dyDescent="0.35">
      <c r="A94" s="6" t="s">
        <v>3</v>
      </c>
      <c r="B94" s="20">
        <v>4.2391280458784326E-2</v>
      </c>
      <c r="C94" s="23">
        <v>6.4508222617040145E-2</v>
      </c>
      <c r="D94" s="66"/>
      <c r="E94" s="66"/>
      <c r="F94" s="66"/>
      <c r="G94" s="66"/>
      <c r="H94" s="66"/>
      <c r="K94" s="6" t="s">
        <v>3</v>
      </c>
      <c r="L94" s="20">
        <v>4.2391280458784326E-2</v>
      </c>
      <c r="M94" s="23">
        <v>0</v>
      </c>
      <c r="N94" s="66"/>
      <c r="O94" s="66"/>
      <c r="P94" s="66"/>
      <c r="Q94" s="66"/>
      <c r="R94" s="66"/>
      <c r="U94" s="65"/>
      <c r="V94" s="65"/>
      <c r="W94" s="65"/>
      <c r="X94" s="65"/>
      <c r="Y94" s="65"/>
      <c r="Z94" s="65"/>
      <c r="AA94" s="65"/>
      <c r="AB94" s="65"/>
    </row>
    <row r="95" spans="1:28" ht="15.5" x14ac:dyDescent="0.35">
      <c r="A95" s="6" t="s">
        <v>4</v>
      </c>
      <c r="B95" s="20">
        <v>0.27105391138211221</v>
      </c>
      <c r="C95" s="23">
        <v>0</v>
      </c>
      <c r="D95" s="66"/>
      <c r="E95" s="66"/>
      <c r="F95" s="66"/>
      <c r="G95" s="66"/>
      <c r="H95" s="66"/>
      <c r="K95" s="6" t="s">
        <v>4</v>
      </c>
      <c r="L95" s="20">
        <v>0.27105391138211221</v>
      </c>
      <c r="M95" s="23">
        <v>0.21702960874350227</v>
      </c>
      <c r="N95" s="66"/>
      <c r="O95" s="66"/>
      <c r="P95" s="66"/>
      <c r="Q95" s="66"/>
      <c r="R95" s="66"/>
      <c r="U95" s="65"/>
      <c r="V95" s="65"/>
      <c r="W95" s="65"/>
      <c r="X95" s="65"/>
      <c r="Y95" s="65"/>
      <c r="Z95" s="65"/>
      <c r="AA95" s="65"/>
      <c r="AB95" s="65"/>
    </row>
    <row r="96" spans="1:28" ht="15.5" x14ac:dyDescent="0.35">
      <c r="A96" s="6" t="s">
        <v>5</v>
      </c>
      <c r="B96" s="20">
        <v>0.13670020780747316</v>
      </c>
      <c r="C96" s="23">
        <v>0</v>
      </c>
      <c r="D96" s="65"/>
      <c r="E96" s="65"/>
      <c r="F96" s="65"/>
      <c r="G96" s="65"/>
      <c r="H96" s="65"/>
      <c r="K96" s="6" t="s">
        <v>5</v>
      </c>
      <c r="L96" s="20">
        <v>0.13670020780747316</v>
      </c>
      <c r="M96" s="23">
        <v>0</v>
      </c>
      <c r="N96" s="65"/>
      <c r="O96" s="65"/>
      <c r="P96" s="65"/>
      <c r="Q96" s="65"/>
      <c r="R96" s="65"/>
      <c r="U96" s="65"/>
      <c r="V96" s="65"/>
      <c r="W96" s="65"/>
      <c r="X96" s="65"/>
      <c r="Y96" s="65"/>
      <c r="Z96" s="65"/>
      <c r="AA96" s="65"/>
      <c r="AB96" s="65"/>
    </row>
    <row r="97" spans="1:28" ht="15.5" x14ac:dyDescent="0.35">
      <c r="A97" s="6" t="s">
        <v>6</v>
      </c>
      <c r="B97" s="20">
        <v>0.11676615658866349</v>
      </c>
      <c r="C97" s="23">
        <v>0</v>
      </c>
      <c r="D97" s="65"/>
      <c r="E97" s="65"/>
      <c r="F97" s="65"/>
      <c r="G97" s="65"/>
      <c r="H97" s="65"/>
      <c r="K97" s="6" t="s">
        <v>6</v>
      </c>
      <c r="L97" s="20">
        <v>0.11676615658866349</v>
      </c>
      <c r="M97" s="23">
        <v>0</v>
      </c>
      <c r="N97" s="65"/>
      <c r="O97" s="65"/>
      <c r="P97" s="65"/>
      <c r="Q97" s="65"/>
      <c r="R97" s="65"/>
      <c r="U97" s="65"/>
      <c r="V97" s="65"/>
      <c r="W97" s="65"/>
      <c r="X97" s="65"/>
      <c r="Y97" s="65"/>
      <c r="Z97" s="65"/>
      <c r="AA97" s="65"/>
      <c r="AB97" s="65"/>
    </row>
    <row r="98" spans="1:28" ht="15.5" x14ac:dyDescent="0.35">
      <c r="A98" s="6" t="s">
        <v>7</v>
      </c>
      <c r="B98" s="20">
        <v>0.19109489942337862</v>
      </c>
      <c r="C98" s="23">
        <v>0.23627796906955659</v>
      </c>
      <c r="D98" s="65"/>
      <c r="E98" s="65"/>
      <c r="F98" s="65"/>
      <c r="G98" s="65"/>
      <c r="H98" s="65"/>
      <c r="K98" s="6" t="s">
        <v>7</v>
      </c>
      <c r="L98" s="20">
        <v>0.19109489942337862</v>
      </c>
      <c r="M98" s="23">
        <v>0.32798974846094603</v>
      </c>
      <c r="N98" s="65"/>
      <c r="O98" s="65"/>
      <c r="P98" s="65"/>
      <c r="Q98" s="65"/>
      <c r="R98" s="65"/>
      <c r="U98" s="65"/>
      <c r="V98" s="65"/>
      <c r="W98" s="65"/>
      <c r="X98" s="65"/>
      <c r="Y98" s="65"/>
      <c r="Z98" s="65"/>
      <c r="AA98" s="65"/>
      <c r="AB98" s="65"/>
    </row>
    <row r="99" spans="1:28" ht="15.5" x14ac:dyDescent="0.35">
      <c r="A99" s="6" t="s">
        <v>8</v>
      </c>
      <c r="B99" s="20">
        <v>-3.7197964699965641E-2</v>
      </c>
      <c r="C99" s="23">
        <v>0</v>
      </c>
      <c r="D99" s="65"/>
      <c r="E99" s="65"/>
      <c r="F99" s="65"/>
      <c r="G99" s="65"/>
      <c r="H99" s="65"/>
      <c r="K99" s="6" t="s">
        <v>8</v>
      </c>
      <c r="L99" s="20">
        <v>-3.7197964699965641E-2</v>
      </c>
      <c r="M99" s="23">
        <v>0</v>
      </c>
      <c r="N99" s="65"/>
      <c r="O99" s="65"/>
      <c r="P99" s="65"/>
      <c r="Q99" s="65"/>
      <c r="R99" s="65"/>
      <c r="U99" s="65"/>
      <c r="V99" s="65"/>
      <c r="W99" s="65"/>
      <c r="X99" s="65"/>
      <c r="Y99" s="65"/>
      <c r="Z99" s="65"/>
      <c r="AA99" s="65"/>
      <c r="AB99" s="65"/>
    </row>
    <row r="100" spans="1:28" ht="15.5" x14ac:dyDescent="0.35">
      <c r="A100" s="6" t="s">
        <v>9</v>
      </c>
      <c r="B100" s="20">
        <v>0.15975950333029129</v>
      </c>
      <c r="C100" s="23">
        <v>3.5630975861705001E-2</v>
      </c>
      <c r="D100" s="65"/>
      <c r="E100" s="65"/>
      <c r="F100" s="65"/>
      <c r="G100" s="65"/>
      <c r="H100" s="65"/>
      <c r="K100" s="6" t="s">
        <v>9</v>
      </c>
      <c r="L100" s="20">
        <v>0.15975950333029129</v>
      </c>
      <c r="M100" s="23">
        <v>0</v>
      </c>
      <c r="N100" s="65"/>
      <c r="O100" s="65"/>
      <c r="P100" s="65"/>
      <c r="Q100" s="65"/>
      <c r="R100" s="65"/>
      <c r="U100" s="65"/>
      <c r="V100" s="65"/>
      <c r="W100" s="65"/>
      <c r="X100" s="65"/>
      <c r="Y100" s="65"/>
      <c r="Z100" s="65"/>
      <c r="AA100" s="65"/>
      <c r="AB100" s="65"/>
    </row>
    <row r="101" spans="1:28" ht="15.5" x14ac:dyDescent="0.35">
      <c r="A101" s="6" t="s">
        <v>10</v>
      </c>
      <c r="B101" s="20">
        <v>0.1096751689273163</v>
      </c>
      <c r="C101" s="23">
        <v>0.17084698268109677</v>
      </c>
      <c r="D101" s="65"/>
      <c r="E101" s="65"/>
      <c r="F101" s="65"/>
      <c r="G101" s="65"/>
      <c r="H101" s="65"/>
      <c r="K101" s="6" t="s">
        <v>10</v>
      </c>
      <c r="L101" s="20">
        <v>0.1096751689273163</v>
      </c>
      <c r="M101" s="23">
        <v>0</v>
      </c>
      <c r="N101" s="65"/>
      <c r="O101" s="65"/>
      <c r="P101" s="65"/>
      <c r="Q101" s="65"/>
      <c r="R101" s="65"/>
      <c r="U101" s="65"/>
      <c r="V101" s="65"/>
      <c r="W101" s="65"/>
      <c r="X101" s="65"/>
      <c r="Y101" s="65"/>
      <c r="Z101" s="65"/>
      <c r="AA101" s="65"/>
      <c r="AB101" s="65"/>
    </row>
    <row r="102" spans="1:28" ht="15.5" x14ac:dyDescent="0.35">
      <c r="A102" s="6" t="s">
        <v>11</v>
      </c>
      <c r="B102" s="20">
        <v>0.3668735385715004</v>
      </c>
      <c r="C102" s="23">
        <v>0.14424269129842526</v>
      </c>
      <c r="D102" s="65"/>
      <c r="E102" s="65"/>
      <c r="F102" s="65"/>
      <c r="G102" s="65"/>
      <c r="H102" s="65"/>
      <c r="K102" s="6" t="s">
        <v>11</v>
      </c>
      <c r="L102" s="20">
        <v>0.3668735385715004</v>
      </c>
      <c r="M102" s="23">
        <v>0.43892819108972342</v>
      </c>
      <c r="N102" s="65"/>
      <c r="O102" s="65"/>
      <c r="P102" s="65"/>
      <c r="Q102" s="65"/>
      <c r="R102" s="65"/>
      <c r="U102" s="65"/>
      <c r="V102" s="65"/>
      <c r="W102" s="65"/>
      <c r="X102" s="65"/>
      <c r="Y102" s="65"/>
      <c r="Z102" s="65"/>
      <c r="AA102" s="65"/>
      <c r="AB102" s="65"/>
    </row>
    <row r="103" spans="1:28" ht="16" thickBot="1" x14ac:dyDescent="0.4">
      <c r="A103" s="6" t="s">
        <v>12</v>
      </c>
      <c r="B103" s="21">
        <v>0.20708722422129289</v>
      </c>
      <c r="C103" s="24">
        <v>8.3956121625856056E-2</v>
      </c>
      <c r="D103" s="65"/>
      <c r="E103" s="65"/>
      <c r="F103" s="65"/>
      <c r="G103" s="65"/>
      <c r="H103" s="65"/>
      <c r="K103" s="6" t="s">
        <v>12</v>
      </c>
      <c r="L103" s="21">
        <v>0.20708722422129289</v>
      </c>
      <c r="M103" s="24">
        <v>0</v>
      </c>
      <c r="N103" s="65"/>
      <c r="O103" s="65"/>
      <c r="P103" s="65"/>
      <c r="Q103" s="65"/>
      <c r="R103" s="65"/>
      <c r="U103" s="65"/>
      <c r="V103" s="65"/>
      <c r="W103" s="65"/>
      <c r="X103" s="65"/>
      <c r="Y103" s="65"/>
      <c r="Z103" s="65"/>
      <c r="AA103" s="65"/>
      <c r="AB103" s="65"/>
    </row>
    <row r="104" spans="1:28" x14ac:dyDescent="0.35">
      <c r="A104" s="65"/>
      <c r="B104" s="65"/>
      <c r="C104" s="65"/>
      <c r="D104" s="65"/>
      <c r="E104" s="65"/>
      <c r="F104" s="65"/>
      <c r="G104" s="65"/>
      <c r="H104" s="65"/>
      <c r="K104" s="65"/>
      <c r="L104" s="65"/>
      <c r="M104" s="65"/>
      <c r="N104" s="65"/>
      <c r="O104" s="65"/>
      <c r="P104" s="65"/>
      <c r="Q104" s="65"/>
      <c r="R104" s="65"/>
      <c r="U104" s="65"/>
      <c r="V104" s="65"/>
      <c r="W104" s="65"/>
      <c r="X104" s="65"/>
      <c r="Y104" s="65"/>
      <c r="Z104" s="65"/>
      <c r="AA104" s="65"/>
      <c r="AB104" s="65"/>
    </row>
    <row r="105" spans="1:28" x14ac:dyDescent="0.35">
      <c r="A105" s="65"/>
      <c r="B105" s="65"/>
      <c r="C105" s="65"/>
      <c r="D105" s="65"/>
      <c r="E105" s="65"/>
      <c r="F105" s="65"/>
      <c r="G105" s="65"/>
      <c r="H105" s="65"/>
      <c r="K105" s="65"/>
      <c r="L105" s="65"/>
      <c r="M105" s="65"/>
      <c r="N105" s="65"/>
      <c r="O105" s="65"/>
      <c r="P105" s="65"/>
      <c r="Q105" s="65"/>
      <c r="R105" s="65"/>
      <c r="U105" s="65"/>
      <c r="V105" s="65"/>
      <c r="W105" s="65"/>
      <c r="X105" s="65"/>
      <c r="Y105" s="65"/>
      <c r="Z105" s="65"/>
      <c r="AA105" s="65"/>
      <c r="AB105" s="65"/>
    </row>
    <row r="106" spans="1:28" ht="44" thickBot="1" x14ac:dyDescent="0.4">
      <c r="A106" s="65"/>
      <c r="B106" s="46" t="s">
        <v>60</v>
      </c>
      <c r="C106" s="34" t="s">
        <v>79</v>
      </c>
      <c r="D106" s="35" t="s">
        <v>32</v>
      </c>
      <c r="E106" s="35" t="s">
        <v>42</v>
      </c>
      <c r="F106" s="35" t="s">
        <v>34</v>
      </c>
      <c r="G106" s="35" t="s">
        <v>33</v>
      </c>
      <c r="H106" s="35" t="s">
        <v>35</v>
      </c>
      <c r="K106" s="65"/>
      <c r="L106" s="46" t="s">
        <v>60</v>
      </c>
      <c r="M106" s="34" t="s">
        <v>79</v>
      </c>
      <c r="N106" s="35" t="s">
        <v>32</v>
      </c>
      <c r="O106" s="35" t="s">
        <v>42</v>
      </c>
      <c r="P106" s="35" t="s">
        <v>34</v>
      </c>
      <c r="Q106" s="35" t="s">
        <v>33</v>
      </c>
      <c r="R106" s="35" t="s">
        <v>35</v>
      </c>
      <c r="U106" s="65"/>
      <c r="V106" s="65"/>
      <c r="W106" s="65"/>
      <c r="X106" s="65"/>
      <c r="Y106" s="65"/>
      <c r="Z106" s="65"/>
      <c r="AA106" s="65"/>
      <c r="AB106" s="65"/>
    </row>
    <row r="107" spans="1:28" ht="16" thickBot="1" x14ac:dyDescent="0.4">
      <c r="A107" s="6" t="s">
        <v>1</v>
      </c>
      <c r="B107" s="20">
        <v>8.0141008757000587E-2</v>
      </c>
      <c r="C107" s="23">
        <v>0.24589020999425054</v>
      </c>
      <c r="D107" s="25">
        <v>1</v>
      </c>
      <c r="E107" s="39">
        <v>0.18382149106058601</v>
      </c>
      <c r="F107" s="39">
        <v>0.18382149116910909</v>
      </c>
      <c r="G107" s="40">
        <v>2.4538766154466651E-2</v>
      </c>
      <c r="H107" s="39">
        <v>0.15664854341635817</v>
      </c>
      <c r="K107" s="6" t="s">
        <v>1</v>
      </c>
      <c r="L107" s="20">
        <v>8.0141008757000587E-2</v>
      </c>
      <c r="M107" s="23">
        <v>0</v>
      </c>
      <c r="N107" s="25">
        <v>0.99999999999999978</v>
      </c>
      <c r="O107" s="39">
        <v>0.30382149106058604</v>
      </c>
      <c r="P107" s="39">
        <v>0.30382249045608323</v>
      </c>
      <c r="Q107" s="40">
        <v>5.032034721960052E-2</v>
      </c>
      <c r="R107" s="39">
        <v>0.22432197221761518</v>
      </c>
      <c r="U107" s="65"/>
      <c r="V107" s="65"/>
      <c r="W107" s="65"/>
      <c r="X107" s="65"/>
      <c r="Y107" s="65"/>
      <c r="Z107" s="65"/>
      <c r="AA107" s="65"/>
      <c r="AB107" s="65"/>
    </row>
    <row r="108" spans="1:28" ht="15.5" x14ac:dyDescent="0.35">
      <c r="A108" s="6" t="s">
        <v>2</v>
      </c>
      <c r="B108" s="20">
        <v>0.32603851869449318</v>
      </c>
      <c r="C108" s="23">
        <v>0</v>
      </c>
      <c r="D108" s="66"/>
      <c r="E108" s="66"/>
      <c r="F108" s="66"/>
      <c r="G108" s="66"/>
      <c r="H108" s="66"/>
      <c r="K108" s="6" t="s">
        <v>2</v>
      </c>
      <c r="L108" s="20">
        <v>0.32603851869449318</v>
      </c>
      <c r="M108" s="23">
        <v>0</v>
      </c>
      <c r="N108" s="66"/>
      <c r="O108" s="66"/>
      <c r="P108" s="66"/>
      <c r="Q108" s="66"/>
      <c r="R108" s="66"/>
      <c r="U108" s="65"/>
      <c r="V108" s="65"/>
      <c r="W108" s="65"/>
      <c r="X108" s="65"/>
      <c r="Y108" s="65"/>
      <c r="Z108" s="65"/>
      <c r="AA108" s="65"/>
      <c r="AB108" s="65"/>
    </row>
    <row r="109" spans="1:28" ht="15.5" x14ac:dyDescent="0.35">
      <c r="A109" s="6" t="s">
        <v>3</v>
      </c>
      <c r="B109" s="20">
        <v>4.2391280458784326E-2</v>
      </c>
      <c r="C109" s="23">
        <v>2.7610523974280841E-2</v>
      </c>
      <c r="D109" s="66"/>
      <c r="E109" s="66"/>
      <c r="F109" s="66"/>
      <c r="G109" s="66"/>
      <c r="H109" s="66"/>
      <c r="K109" s="6" t="s">
        <v>3</v>
      </c>
      <c r="L109" s="20">
        <v>4.2391280458784326E-2</v>
      </c>
      <c r="M109" s="23">
        <v>0</v>
      </c>
      <c r="N109" s="66"/>
      <c r="O109" s="66"/>
      <c r="P109" s="66"/>
      <c r="Q109" s="66"/>
      <c r="R109" s="66"/>
      <c r="U109" s="65"/>
      <c r="V109" s="65"/>
      <c r="W109" s="65"/>
      <c r="X109" s="65"/>
      <c r="Y109" s="65"/>
      <c r="Z109" s="65"/>
      <c r="AA109" s="65"/>
      <c r="AB109" s="65"/>
    </row>
    <row r="110" spans="1:28" ht="15.5" x14ac:dyDescent="0.35">
      <c r="A110" s="6" t="s">
        <v>4</v>
      </c>
      <c r="B110" s="20">
        <v>0.27105391138211221</v>
      </c>
      <c r="C110" s="23">
        <v>1.8953529315707207E-2</v>
      </c>
      <c r="D110" s="66"/>
      <c r="E110" s="66"/>
      <c r="F110" s="66"/>
      <c r="G110" s="66"/>
      <c r="H110" s="66"/>
      <c r="K110" s="6" t="s">
        <v>4</v>
      </c>
      <c r="L110" s="20">
        <v>0.27105391138211221</v>
      </c>
      <c r="M110" s="23">
        <v>0.2106671786153787</v>
      </c>
      <c r="N110" s="66"/>
      <c r="O110" s="66"/>
      <c r="P110" s="66"/>
      <c r="Q110" s="66"/>
      <c r="R110" s="66"/>
      <c r="U110" s="65"/>
      <c r="V110" s="65"/>
      <c r="W110" s="65"/>
      <c r="X110" s="65"/>
      <c r="Y110" s="65"/>
      <c r="Z110" s="65"/>
      <c r="AA110" s="65"/>
      <c r="AB110" s="65"/>
    </row>
    <row r="111" spans="1:28" ht="15.5" x14ac:dyDescent="0.35">
      <c r="A111" s="6" t="s">
        <v>5</v>
      </c>
      <c r="B111" s="20">
        <v>0.13670020780747316</v>
      </c>
      <c r="C111" s="23">
        <v>0</v>
      </c>
      <c r="D111" s="65"/>
      <c r="E111" s="65"/>
      <c r="F111" s="65"/>
      <c r="G111" s="65"/>
      <c r="H111" s="65"/>
      <c r="K111" s="6" t="s">
        <v>5</v>
      </c>
      <c r="L111" s="20">
        <v>0.13670020780747316</v>
      </c>
      <c r="M111" s="23">
        <v>0</v>
      </c>
      <c r="N111" s="65"/>
      <c r="O111" s="65"/>
      <c r="P111" s="65"/>
      <c r="Q111" s="65"/>
      <c r="R111" s="65"/>
      <c r="U111" s="65"/>
      <c r="V111" s="65"/>
      <c r="W111" s="65"/>
      <c r="X111" s="65"/>
      <c r="Y111" s="65"/>
      <c r="Z111" s="65"/>
      <c r="AA111" s="65"/>
      <c r="AB111" s="65"/>
    </row>
    <row r="112" spans="1:28" ht="15.5" x14ac:dyDescent="0.35">
      <c r="A112" s="6" t="s">
        <v>6</v>
      </c>
      <c r="B112" s="20">
        <v>0.11676615658866349</v>
      </c>
      <c r="C112" s="23">
        <v>0</v>
      </c>
      <c r="D112" s="65"/>
      <c r="E112" s="65"/>
      <c r="F112" s="65"/>
      <c r="G112" s="65"/>
      <c r="H112" s="65"/>
      <c r="K112" s="6" t="s">
        <v>6</v>
      </c>
      <c r="L112" s="20">
        <v>0.11676615658866349</v>
      </c>
      <c r="M112" s="23">
        <v>0</v>
      </c>
      <c r="N112" s="65"/>
      <c r="O112" s="65"/>
      <c r="P112" s="65"/>
      <c r="Q112" s="65"/>
      <c r="R112" s="65"/>
      <c r="U112" s="65"/>
      <c r="V112" s="65"/>
      <c r="W112" s="65"/>
      <c r="X112" s="65"/>
      <c r="Y112" s="65"/>
      <c r="Z112" s="65"/>
      <c r="AA112" s="65"/>
      <c r="AB112" s="65"/>
    </row>
    <row r="113" spans="1:28" ht="15.5" x14ac:dyDescent="0.35">
      <c r="A113" s="6" t="s">
        <v>7</v>
      </c>
      <c r="B113" s="20">
        <v>0.19109489942337862</v>
      </c>
      <c r="C113" s="23">
        <v>0.24582029192566249</v>
      </c>
      <c r="D113" s="65"/>
      <c r="E113" s="65"/>
      <c r="F113" s="65"/>
      <c r="G113" s="65"/>
      <c r="H113" s="65"/>
      <c r="K113" s="6" t="s">
        <v>7</v>
      </c>
      <c r="L113" s="20">
        <v>0.19109489942337862</v>
      </c>
      <c r="M113" s="23">
        <v>0.24385783054862897</v>
      </c>
      <c r="N113" s="65"/>
      <c r="O113" s="65"/>
      <c r="P113" s="65"/>
      <c r="Q113" s="65"/>
      <c r="R113" s="65"/>
      <c r="U113" s="65"/>
      <c r="V113" s="65"/>
      <c r="W113" s="65"/>
      <c r="X113" s="65"/>
      <c r="Y113" s="65"/>
      <c r="Z113" s="65"/>
      <c r="AA113" s="65"/>
      <c r="AB113" s="65"/>
    </row>
    <row r="114" spans="1:28" ht="15.5" x14ac:dyDescent="0.35">
      <c r="A114" s="6" t="s">
        <v>8</v>
      </c>
      <c r="B114" s="20">
        <v>-3.7197964699965641E-2</v>
      </c>
      <c r="C114" s="23">
        <v>0</v>
      </c>
      <c r="D114" s="65"/>
      <c r="E114" s="65"/>
      <c r="F114" s="65"/>
      <c r="G114" s="65"/>
      <c r="H114" s="65"/>
      <c r="K114" s="6" t="s">
        <v>8</v>
      </c>
      <c r="L114" s="20">
        <v>-3.7197964699965641E-2</v>
      </c>
      <c r="M114" s="23">
        <v>0</v>
      </c>
      <c r="N114" s="65"/>
      <c r="O114" s="65"/>
      <c r="P114" s="65"/>
      <c r="Q114" s="65"/>
      <c r="R114" s="65"/>
      <c r="U114" s="65"/>
      <c r="V114" s="65"/>
      <c r="W114" s="65"/>
      <c r="X114" s="65"/>
      <c r="Y114" s="65"/>
      <c r="Z114" s="65"/>
      <c r="AA114" s="65"/>
      <c r="AB114" s="65"/>
    </row>
    <row r="115" spans="1:28" ht="15.5" x14ac:dyDescent="0.35">
      <c r="A115" s="6" t="s">
        <v>9</v>
      </c>
      <c r="B115" s="20">
        <v>0.15975950333029129</v>
      </c>
      <c r="C115" s="23">
        <v>1.0138031927226667E-2</v>
      </c>
      <c r="D115" s="65"/>
      <c r="E115" s="65"/>
      <c r="F115" s="65"/>
      <c r="G115" s="65"/>
      <c r="H115" s="65"/>
      <c r="K115" s="6" t="s">
        <v>9</v>
      </c>
      <c r="L115" s="20">
        <v>0.15975950333029129</v>
      </c>
      <c r="M115" s="23">
        <v>0</v>
      </c>
      <c r="N115" s="65"/>
      <c r="O115" s="65"/>
      <c r="P115" s="65"/>
      <c r="Q115" s="65"/>
      <c r="R115" s="65"/>
      <c r="U115" s="65"/>
      <c r="V115" s="65"/>
      <c r="W115" s="65"/>
      <c r="X115" s="65"/>
      <c r="Y115" s="65"/>
      <c r="Z115" s="65"/>
      <c r="AA115" s="65"/>
      <c r="AB115" s="65"/>
    </row>
    <row r="116" spans="1:28" ht="15.5" x14ac:dyDescent="0.35">
      <c r="A116" s="6" t="s">
        <v>10</v>
      </c>
      <c r="B116" s="20">
        <v>0.1096751689273163</v>
      </c>
      <c r="C116" s="23">
        <v>0.16480733625666849</v>
      </c>
      <c r="D116" s="65"/>
      <c r="E116" s="65"/>
      <c r="F116" s="65"/>
      <c r="G116" s="65"/>
      <c r="H116" s="65"/>
      <c r="K116" s="6" t="s">
        <v>10</v>
      </c>
      <c r="L116" s="20">
        <v>0.1096751689273163</v>
      </c>
      <c r="M116" s="23">
        <v>0</v>
      </c>
      <c r="N116" s="65"/>
      <c r="O116" s="65"/>
      <c r="P116" s="65"/>
      <c r="Q116" s="65"/>
      <c r="R116" s="65"/>
      <c r="U116" s="65"/>
      <c r="V116" s="65"/>
      <c r="W116" s="65"/>
      <c r="X116" s="65"/>
      <c r="Y116" s="65"/>
      <c r="Z116" s="65"/>
      <c r="AA116" s="65"/>
      <c r="AB116" s="65"/>
    </row>
    <row r="117" spans="1:28" ht="15.5" x14ac:dyDescent="0.35">
      <c r="A117" s="6" t="s">
        <v>11</v>
      </c>
      <c r="B117" s="20">
        <v>0.3668735385715004</v>
      </c>
      <c r="C117" s="23">
        <v>0.19869858521317213</v>
      </c>
      <c r="D117" s="65"/>
      <c r="E117" s="65"/>
      <c r="F117" s="65"/>
      <c r="G117" s="65"/>
      <c r="H117" s="65"/>
      <c r="K117" s="6" t="s">
        <v>11</v>
      </c>
      <c r="L117" s="20">
        <v>0.3668735385715004</v>
      </c>
      <c r="M117" s="23">
        <v>0.54547499083599216</v>
      </c>
      <c r="N117" s="65"/>
      <c r="O117" s="65"/>
      <c r="P117" s="65"/>
      <c r="Q117" s="65"/>
      <c r="R117" s="65"/>
      <c r="U117" s="65"/>
      <c r="V117" s="65"/>
      <c r="W117" s="65"/>
      <c r="X117" s="65"/>
      <c r="Y117" s="65"/>
      <c r="Z117" s="65"/>
      <c r="AA117" s="65"/>
      <c r="AB117" s="65"/>
    </row>
    <row r="118" spans="1:28" ht="16" thickBot="1" x14ac:dyDescent="0.4">
      <c r="A118" s="6" t="s">
        <v>12</v>
      </c>
      <c r="B118" s="21">
        <v>0.20708722422129289</v>
      </c>
      <c r="C118" s="24">
        <v>8.8081491393031619E-2</v>
      </c>
      <c r="D118" s="65"/>
      <c r="E118" s="65"/>
      <c r="F118" s="65"/>
      <c r="G118" s="65"/>
      <c r="H118" s="65"/>
      <c r="K118" s="6" t="s">
        <v>12</v>
      </c>
      <c r="L118" s="21">
        <v>0.20708722422129289</v>
      </c>
      <c r="M118" s="24">
        <v>0</v>
      </c>
      <c r="N118" s="65"/>
      <c r="O118" s="65"/>
      <c r="P118" s="65"/>
      <c r="Q118" s="65"/>
      <c r="R118" s="65"/>
      <c r="U118" s="65"/>
      <c r="V118" s="65"/>
      <c r="W118" s="65"/>
      <c r="X118" s="65"/>
      <c r="Y118" s="65"/>
      <c r="Z118" s="65"/>
      <c r="AA118" s="65"/>
      <c r="AB118" s="65"/>
    </row>
    <row r="119" spans="1:28" x14ac:dyDescent="0.35">
      <c r="A119" s="65"/>
      <c r="B119" s="65"/>
      <c r="C119" s="65"/>
      <c r="D119" s="65"/>
      <c r="E119" s="65"/>
      <c r="F119" s="65"/>
      <c r="G119" s="65"/>
      <c r="H119" s="65"/>
      <c r="K119" s="65"/>
      <c r="L119" s="65"/>
      <c r="M119" s="65"/>
      <c r="N119" s="65"/>
      <c r="O119" s="65"/>
      <c r="P119" s="65"/>
      <c r="Q119" s="65"/>
      <c r="R119" s="65"/>
      <c r="U119" s="65"/>
      <c r="V119" s="65"/>
      <c r="W119" s="65"/>
      <c r="X119" s="65"/>
      <c r="Y119" s="65"/>
      <c r="Z119" s="65"/>
      <c r="AA119" s="65"/>
      <c r="AB119" s="65"/>
    </row>
    <row r="120" spans="1:28" x14ac:dyDescent="0.35">
      <c r="A120" s="65"/>
      <c r="B120" s="65"/>
      <c r="C120" s="65"/>
      <c r="D120" s="65"/>
      <c r="E120" s="65"/>
      <c r="F120" s="65"/>
      <c r="G120" s="65"/>
      <c r="H120" s="65"/>
      <c r="K120" s="65"/>
      <c r="L120" s="65"/>
      <c r="M120" s="65"/>
      <c r="N120" s="65"/>
      <c r="O120" s="65"/>
      <c r="P120" s="65"/>
      <c r="Q120" s="65"/>
      <c r="R120" s="65"/>
      <c r="U120" s="65"/>
      <c r="V120" s="65"/>
      <c r="W120" s="65"/>
      <c r="X120" s="65"/>
      <c r="Y120" s="65"/>
      <c r="Z120" s="65"/>
      <c r="AA120" s="65"/>
      <c r="AB120" s="65"/>
    </row>
    <row r="121" spans="1:28" ht="44" thickBot="1" x14ac:dyDescent="0.4">
      <c r="A121" s="65"/>
      <c r="B121" s="46" t="s">
        <v>60</v>
      </c>
      <c r="C121" s="34" t="s">
        <v>79</v>
      </c>
      <c r="D121" s="35" t="s">
        <v>32</v>
      </c>
      <c r="E121" s="35" t="s">
        <v>42</v>
      </c>
      <c r="F121" s="35" t="s">
        <v>34</v>
      </c>
      <c r="G121" s="35" t="s">
        <v>33</v>
      </c>
      <c r="H121" s="35" t="s">
        <v>35</v>
      </c>
      <c r="K121" s="65"/>
      <c r="L121" s="46" t="s">
        <v>60</v>
      </c>
      <c r="M121" s="34" t="s">
        <v>79</v>
      </c>
      <c r="N121" s="35" t="s">
        <v>32</v>
      </c>
      <c r="O121" s="35" t="s">
        <v>42</v>
      </c>
      <c r="P121" s="35" t="s">
        <v>34</v>
      </c>
      <c r="Q121" s="35" t="s">
        <v>33</v>
      </c>
      <c r="R121" s="35" t="s">
        <v>35</v>
      </c>
      <c r="U121" s="65"/>
      <c r="V121" s="65"/>
      <c r="W121" s="65"/>
      <c r="X121" s="65"/>
      <c r="Y121" s="65"/>
      <c r="Z121" s="65"/>
      <c r="AA121" s="65"/>
      <c r="AB121" s="65"/>
    </row>
    <row r="122" spans="1:28" ht="16" thickBot="1" x14ac:dyDescent="0.4">
      <c r="A122" s="6" t="s">
        <v>1</v>
      </c>
      <c r="B122" s="20">
        <v>8.0141008757000587E-2</v>
      </c>
      <c r="C122" s="23">
        <v>0.2181019062813013</v>
      </c>
      <c r="D122" s="25">
        <v>1</v>
      </c>
      <c r="E122" s="39">
        <v>0.203821491060586</v>
      </c>
      <c r="F122" s="39">
        <v>0.20382149104684591</v>
      </c>
      <c r="G122" s="40">
        <v>2.7346874186784043E-2</v>
      </c>
      <c r="H122" s="39">
        <v>0.16536890332460949</v>
      </c>
      <c r="K122" s="6" t="s">
        <v>1</v>
      </c>
      <c r="L122" s="20">
        <v>8.0141008757000587E-2</v>
      </c>
      <c r="M122" s="23">
        <v>0</v>
      </c>
      <c r="N122" s="25">
        <v>1</v>
      </c>
      <c r="O122" s="39">
        <v>0.323821491060586</v>
      </c>
      <c r="P122" s="39">
        <v>0.32382149120339293</v>
      </c>
      <c r="Q122" s="40">
        <v>5.8738100755450412E-2</v>
      </c>
      <c r="R122" s="39">
        <v>0.24235944536050252</v>
      </c>
      <c r="U122" s="65"/>
      <c r="V122" s="65"/>
      <c r="W122" s="65"/>
      <c r="X122" s="65"/>
      <c r="Y122" s="65"/>
      <c r="Z122" s="65"/>
      <c r="AA122" s="65"/>
      <c r="AB122" s="65"/>
    </row>
    <row r="123" spans="1:28" ht="15.5" x14ac:dyDescent="0.35">
      <c r="A123" s="6" t="s">
        <v>2</v>
      </c>
      <c r="B123" s="20">
        <v>0.32603851869449318</v>
      </c>
      <c r="C123" s="23">
        <v>0</v>
      </c>
      <c r="D123" s="66"/>
      <c r="E123" s="66"/>
      <c r="F123" s="66"/>
      <c r="G123" s="66"/>
      <c r="H123" s="66"/>
      <c r="K123" s="6" t="s">
        <v>2</v>
      </c>
      <c r="L123" s="20">
        <v>0.32603851869449318</v>
      </c>
      <c r="M123" s="23">
        <v>2.9000182645083823E-2</v>
      </c>
      <c r="N123" s="66"/>
      <c r="O123" s="66"/>
      <c r="P123" s="66"/>
      <c r="Q123" s="66"/>
      <c r="R123" s="66"/>
      <c r="U123" s="65"/>
      <c r="V123" s="65"/>
      <c r="W123" s="65"/>
      <c r="X123" s="65"/>
      <c r="Y123" s="65"/>
      <c r="Z123" s="65"/>
      <c r="AA123" s="65"/>
      <c r="AB123" s="65"/>
    </row>
    <row r="124" spans="1:28" ht="15.5" x14ac:dyDescent="0.35">
      <c r="A124" s="6" t="s">
        <v>3</v>
      </c>
      <c r="B124" s="20">
        <v>4.2391280458784326E-2</v>
      </c>
      <c r="C124" s="23">
        <v>0</v>
      </c>
      <c r="D124" s="66"/>
      <c r="E124" s="66"/>
      <c r="F124" s="66"/>
      <c r="G124" s="66"/>
      <c r="H124" s="66"/>
      <c r="K124" s="6" t="s">
        <v>3</v>
      </c>
      <c r="L124" s="20">
        <v>4.2391280458784326E-2</v>
      </c>
      <c r="M124" s="23">
        <v>0</v>
      </c>
      <c r="N124" s="66"/>
      <c r="O124" s="66"/>
      <c r="P124" s="66"/>
      <c r="Q124" s="66"/>
      <c r="R124" s="66"/>
      <c r="U124" s="65"/>
      <c r="V124" s="65"/>
      <c r="W124" s="65"/>
      <c r="X124" s="65"/>
      <c r="Y124" s="65"/>
      <c r="Z124" s="65"/>
      <c r="AA124" s="65"/>
      <c r="AB124" s="65"/>
    </row>
    <row r="125" spans="1:28" ht="15.5" x14ac:dyDescent="0.35">
      <c r="A125" s="6" t="s">
        <v>4</v>
      </c>
      <c r="B125" s="20">
        <v>0.27105391138211221</v>
      </c>
      <c r="C125" s="23">
        <v>5.0223458299049173E-2</v>
      </c>
      <c r="D125" s="66"/>
      <c r="E125" s="66"/>
      <c r="F125" s="66"/>
      <c r="G125" s="66"/>
      <c r="H125" s="66"/>
      <c r="K125" s="6" t="s">
        <v>4</v>
      </c>
      <c r="L125" s="20">
        <v>0.27105391138211221</v>
      </c>
      <c r="M125" s="23">
        <v>0.17375903440880994</v>
      </c>
      <c r="N125" s="66"/>
      <c r="O125" s="66"/>
      <c r="P125" s="66"/>
      <c r="Q125" s="66"/>
      <c r="R125" s="66"/>
      <c r="U125" s="65"/>
      <c r="V125" s="65"/>
      <c r="W125" s="65"/>
      <c r="X125" s="65"/>
      <c r="Y125" s="65"/>
      <c r="Z125" s="65"/>
      <c r="AA125" s="65"/>
      <c r="AB125" s="65"/>
    </row>
    <row r="126" spans="1:28" ht="15.5" x14ac:dyDescent="0.35">
      <c r="A126" s="6" t="s">
        <v>5</v>
      </c>
      <c r="B126" s="20">
        <v>0.13670020780747316</v>
      </c>
      <c r="C126" s="23">
        <v>0</v>
      </c>
      <c r="D126" s="65"/>
      <c r="E126" s="65"/>
      <c r="F126" s="65"/>
      <c r="G126" s="65"/>
      <c r="H126" s="65"/>
      <c r="K126" s="6" t="s">
        <v>5</v>
      </c>
      <c r="L126" s="20">
        <v>0.13670020780747316</v>
      </c>
      <c r="M126" s="23">
        <v>0</v>
      </c>
      <c r="N126" s="65"/>
      <c r="O126" s="65"/>
      <c r="P126" s="65"/>
      <c r="Q126" s="65"/>
      <c r="R126" s="65"/>
      <c r="U126" s="65"/>
      <c r="V126" s="65"/>
      <c r="W126" s="65"/>
      <c r="X126" s="65"/>
      <c r="Y126" s="65"/>
      <c r="Z126" s="65"/>
      <c r="AA126" s="65"/>
      <c r="AB126" s="65"/>
    </row>
    <row r="127" spans="1:28" ht="15.5" x14ac:dyDescent="0.35">
      <c r="A127" s="6" t="s">
        <v>6</v>
      </c>
      <c r="B127" s="20">
        <v>0.11676615658866349</v>
      </c>
      <c r="C127" s="23">
        <v>0</v>
      </c>
      <c r="D127" s="65"/>
      <c r="E127" s="65"/>
      <c r="F127" s="65"/>
      <c r="G127" s="65"/>
      <c r="H127" s="65"/>
      <c r="K127" s="6" t="s">
        <v>6</v>
      </c>
      <c r="L127" s="20">
        <v>0.11676615658866349</v>
      </c>
      <c r="M127" s="23">
        <v>0</v>
      </c>
      <c r="N127" s="65"/>
      <c r="O127" s="65"/>
      <c r="P127" s="65"/>
      <c r="Q127" s="65"/>
      <c r="R127" s="65"/>
      <c r="U127" s="65"/>
      <c r="V127" s="65"/>
      <c r="W127" s="65"/>
      <c r="X127" s="65"/>
      <c r="Y127" s="65"/>
      <c r="Z127" s="65"/>
      <c r="AA127" s="65"/>
      <c r="AB127" s="65"/>
    </row>
    <row r="128" spans="1:28" ht="15.5" x14ac:dyDescent="0.35">
      <c r="A128" s="6" t="s">
        <v>7</v>
      </c>
      <c r="B128" s="20">
        <v>0.19109489942337862</v>
      </c>
      <c r="C128" s="23">
        <v>0.26004027835554339</v>
      </c>
      <c r="D128" s="65"/>
      <c r="E128" s="65"/>
      <c r="F128" s="65"/>
      <c r="G128" s="65"/>
      <c r="H128" s="65"/>
      <c r="K128" s="6" t="s">
        <v>7</v>
      </c>
      <c r="L128" s="20">
        <v>0.19109489942337862</v>
      </c>
      <c r="M128" s="23">
        <v>0.14346622864833961</v>
      </c>
      <c r="N128" s="65"/>
      <c r="O128" s="65"/>
      <c r="P128" s="65"/>
      <c r="Q128" s="65"/>
      <c r="R128" s="65"/>
      <c r="U128" s="65"/>
      <c r="V128" s="65"/>
      <c r="W128" s="65"/>
      <c r="X128" s="65"/>
      <c r="Y128" s="65"/>
      <c r="Z128" s="65"/>
      <c r="AA128" s="65"/>
      <c r="AB128" s="65"/>
    </row>
    <row r="129" spans="1:28" ht="15.5" x14ac:dyDescent="0.35">
      <c r="A129" s="6" t="s">
        <v>8</v>
      </c>
      <c r="B129" s="20">
        <v>-3.7197964699965641E-2</v>
      </c>
      <c r="C129" s="23">
        <v>0</v>
      </c>
      <c r="D129" s="65"/>
      <c r="E129" s="65"/>
      <c r="F129" s="65"/>
      <c r="G129" s="65"/>
      <c r="H129" s="65"/>
      <c r="K129" s="6" t="s">
        <v>8</v>
      </c>
      <c r="L129" s="20">
        <v>-3.7197964699965641E-2</v>
      </c>
      <c r="M129" s="23">
        <v>0</v>
      </c>
      <c r="N129" s="65"/>
      <c r="O129" s="65"/>
      <c r="P129" s="65"/>
      <c r="Q129" s="65"/>
      <c r="R129" s="65"/>
      <c r="U129" s="65"/>
      <c r="V129" s="65"/>
      <c r="W129" s="65"/>
      <c r="X129" s="65"/>
      <c r="Y129" s="65"/>
      <c r="Z129" s="65"/>
      <c r="AA129" s="65"/>
      <c r="AB129" s="65"/>
    </row>
    <row r="130" spans="1:28" ht="15.5" x14ac:dyDescent="0.35">
      <c r="A130" s="6" t="s">
        <v>9</v>
      </c>
      <c r="B130" s="20">
        <v>0.15975950333029129</v>
      </c>
      <c r="C130" s="23">
        <v>0</v>
      </c>
      <c r="D130" s="65"/>
      <c r="E130" s="65"/>
      <c r="F130" s="65"/>
      <c r="G130" s="65"/>
      <c r="H130" s="65"/>
      <c r="K130" s="6" t="s">
        <v>9</v>
      </c>
      <c r="L130" s="20">
        <v>0.15975950333029129</v>
      </c>
      <c r="M130" s="23">
        <v>0</v>
      </c>
      <c r="N130" s="65"/>
      <c r="O130" s="65"/>
      <c r="P130" s="65"/>
      <c r="Q130" s="65"/>
      <c r="R130" s="65"/>
      <c r="U130" s="65"/>
      <c r="V130" s="65"/>
      <c r="W130" s="65"/>
      <c r="X130" s="65"/>
      <c r="Y130" s="65"/>
      <c r="Z130" s="65"/>
      <c r="AA130" s="65"/>
      <c r="AB130" s="65"/>
    </row>
    <row r="131" spans="1:28" ht="15.5" x14ac:dyDescent="0.35">
      <c r="A131" s="6" t="s">
        <v>10</v>
      </c>
      <c r="B131" s="20">
        <v>0.1096751689273163</v>
      </c>
      <c r="C131" s="23">
        <v>0.14492443644155853</v>
      </c>
      <c r="D131" s="65"/>
      <c r="E131" s="65"/>
      <c r="F131" s="65"/>
      <c r="G131" s="65"/>
      <c r="H131" s="65"/>
      <c r="K131" s="6" t="s">
        <v>10</v>
      </c>
      <c r="L131" s="20">
        <v>0.1096751689273163</v>
      </c>
      <c r="M131" s="23">
        <v>0</v>
      </c>
      <c r="N131" s="65"/>
      <c r="O131" s="65"/>
      <c r="P131" s="65"/>
      <c r="Q131" s="65"/>
      <c r="R131" s="65"/>
      <c r="U131" s="65"/>
      <c r="V131" s="65"/>
      <c r="W131" s="65"/>
      <c r="X131" s="65"/>
      <c r="Y131" s="65"/>
      <c r="Z131" s="65"/>
      <c r="AA131" s="65"/>
      <c r="AB131" s="65"/>
    </row>
    <row r="132" spans="1:28" ht="15.5" x14ac:dyDescent="0.35">
      <c r="A132" s="6" t="s">
        <v>11</v>
      </c>
      <c r="B132" s="20">
        <v>0.3668735385715004</v>
      </c>
      <c r="C132" s="23">
        <v>0.24711056223449565</v>
      </c>
      <c r="D132" s="65"/>
      <c r="E132" s="65"/>
      <c r="F132" s="65"/>
      <c r="G132" s="65"/>
      <c r="H132" s="65"/>
      <c r="K132" s="6" t="s">
        <v>11</v>
      </c>
      <c r="L132" s="20">
        <v>0.3668735385715004</v>
      </c>
      <c r="M132" s="23">
        <v>0.65377455429776676</v>
      </c>
      <c r="N132" s="65"/>
      <c r="O132" s="65"/>
      <c r="P132" s="65"/>
      <c r="Q132" s="65"/>
      <c r="R132" s="65"/>
      <c r="U132" s="65"/>
      <c r="V132" s="65"/>
      <c r="W132" s="65"/>
      <c r="X132" s="65"/>
      <c r="Y132" s="65"/>
      <c r="Z132" s="65"/>
      <c r="AA132" s="65"/>
      <c r="AB132" s="65"/>
    </row>
    <row r="133" spans="1:28" ht="16" thickBot="1" x14ac:dyDescent="0.4">
      <c r="A133" s="6" t="s">
        <v>12</v>
      </c>
      <c r="B133" s="21">
        <v>0.20708722422129289</v>
      </c>
      <c r="C133" s="24">
        <v>7.9599358388051947E-2</v>
      </c>
      <c r="D133" s="65"/>
      <c r="E133" s="65"/>
      <c r="F133" s="65"/>
      <c r="G133" s="65"/>
      <c r="H133" s="65"/>
      <c r="K133" s="6" t="s">
        <v>12</v>
      </c>
      <c r="L133" s="21">
        <v>0.20708722422129289</v>
      </c>
      <c r="M133" s="24">
        <v>0</v>
      </c>
      <c r="N133" s="65"/>
      <c r="O133" s="65"/>
      <c r="P133" s="65"/>
      <c r="Q133" s="65"/>
      <c r="R133" s="65"/>
      <c r="U133" s="65"/>
      <c r="V133" s="65"/>
      <c r="W133" s="65"/>
      <c r="X133" s="65"/>
      <c r="Y133" s="65"/>
      <c r="Z133" s="65"/>
      <c r="AA133" s="65"/>
      <c r="AB133" s="65"/>
    </row>
    <row r="134" spans="1:28" x14ac:dyDescent="0.35">
      <c r="A134" s="65"/>
      <c r="B134" s="65"/>
      <c r="C134" s="65"/>
      <c r="D134" s="65"/>
      <c r="E134" s="65"/>
      <c r="F134" s="65"/>
      <c r="G134" s="65"/>
      <c r="H134" s="65"/>
      <c r="U134" s="65"/>
      <c r="V134" s="65"/>
      <c r="W134" s="65"/>
      <c r="X134" s="65"/>
      <c r="Y134" s="65"/>
      <c r="Z134" s="65"/>
      <c r="AA134" s="65"/>
      <c r="AB134" s="65"/>
    </row>
    <row r="135" spans="1:28" x14ac:dyDescent="0.35">
      <c r="A135" s="65"/>
      <c r="B135" s="65"/>
      <c r="C135" s="65"/>
      <c r="D135" s="65"/>
      <c r="E135" s="65"/>
      <c r="F135" s="65"/>
      <c r="G135" s="65"/>
      <c r="H135" s="65"/>
      <c r="U135" s="65"/>
      <c r="V135" s="65"/>
      <c r="W135" s="65"/>
      <c r="X135" s="65"/>
      <c r="Y135" s="65"/>
      <c r="Z135" s="65"/>
      <c r="AA135" s="65"/>
      <c r="AB135" s="65"/>
    </row>
    <row r="136" spans="1:28" ht="44" thickBot="1" x14ac:dyDescent="0.4">
      <c r="A136" s="65"/>
      <c r="B136" s="46" t="s">
        <v>60</v>
      </c>
      <c r="C136" s="34" t="s">
        <v>79</v>
      </c>
      <c r="D136" s="35" t="s">
        <v>32</v>
      </c>
      <c r="E136" s="35" t="s">
        <v>42</v>
      </c>
      <c r="F136" s="35" t="s">
        <v>34</v>
      </c>
      <c r="G136" s="35" t="s">
        <v>33</v>
      </c>
      <c r="H136" s="35" t="s">
        <v>35</v>
      </c>
      <c r="K136" s="65"/>
      <c r="L136" s="46" t="s">
        <v>60</v>
      </c>
      <c r="M136" s="34" t="s">
        <v>79</v>
      </c>
      <c r="N136" s="35" t="s">
        <v>32</v>
      </c>
      <c r="O136" s="35" t="s">
        <v>42</v>
      </c>
      <c r="P136" s="35" t="s">
        <v>34</v>
      </c>
      <c r="Q136" s="35" t="s">
        <v>33</v>
      </c>
      <c r="R136" s="35" t="s">
        <v>35</v>
      </c>
      <c r="U136" s="65"/>
      <c r="V136" s="65"/>
      <c r="W136" s="65"/>
      <c r="X136" s="65"/>
      <c r="Y136" s="65"/>
      <c r="Z136" s="65"/>
      <c r="AA136" s="65"/>
      <c r="AB136" s="65"/>
    </row>
    <row r="137" spans="1:28" ht="16" thickBot="1" x14ac:dyDescent="0.4">
      <c r="A137" s="6" t="s">
        <v>1</v>
      </c>
      <c r="B137" s="20">
        <v>8.0141008757000587E-2</v>
      </c>
      <c r="C137" s="23">
        <v>0.16928587951776725</v>
      </c>
      <c r="D137" s="25">
        <v>1</v>
      </c>
      <c r="E137" s="39">
        <v>0.22382149106058602</v>
      </c>
      <c r="F137" s="39">
        <v>0.22382149085443567</v>
      </c>
      <c r="G137" s="40">
        <v>3.068406402210147E-2</v>
      </c>
      <c r="H137" s="39">
        <v>0.17516867306142805</v>
      </c>
      <c r="K137" s="6" t="s">
        <v>1</v>
      </c>
      <c r="L137" s="20">
        <v>8.0141008757000587E-2</v>
      </c>
      <c r="M137" s="23">
        <v>0</v>
      </c>
      <c r="N137" s="25">
        <v>0.99999999999999989</v>
      </c>
      <c r="O137" s="39">
        <v>0.34382149106058602</v>
      </c>
      <c r="P137" s="39">
        <v>0.34382149059097838</v>
      </c>
      <c r="Q137" s="40">
        <v>6.9213607906672484E-2</v>
      </c>
      <c r="R137" s="39">
        <v>0.2630847922375455</v>
      </c>
      <c r="U137" s="65"/>
      <c r="V137" s="65"/>
      <c r="W137" s="65"/>
      <c r="X137" s="65"/>
      <c r="Y137" s="65"/>
      <c r="Z137" s="65"/>
      <c r="AA137" s="65"/>
      <c r="AB137" s="65"/>
    </row>
    <row r="138" spans="1:28" ht="15.5" x14ac:dyDescent="0.35">
      <c r="A138" s="6" t="s">
        <v>2</v>
      </c>
      <c r="B138" s="20">
        <v>0.32603851869449318</v>
      </c>
      <c r="C138" s="23">
        <v>0</v>
      </c>
      <c r="D138" s="66"/>
      <c r="E138" s="66"/>
      <c r="F138" s="66"/>
      <c r="G138" s="66"/>
      <c r="H138" s="66"/>
      <c r="K138" s="6" t="s">
        <v>2</v>
      </c>
      <c r="L138" s="20">
        <v>0.32603851869449318</v>
      </c>
      <c r="M138" s="23">
        <v>7.9228603079643953E-2</v>
      </c>
      <c r="N138" s="66"/>
      <c r="O138" s="66"/>
      <c r="P138" s="66"/>
      <c r="Q138" s="66"/>
      <c r="R138" s="66"/>
      <c r="U138" s="65"/>
      <c r="V138" s="65"/>
      <c r="W138" s="65"/>
      <c r="X138" s="65"/>
      <c r="Y138" s="65"/>
      <c r="Z138" s="65"/>
      <c r="AA138" s="65"/>
      <c r="AB138" s="65"/>
    </row>
    <row r="139" spans="1:28" ht="15.5" x14ac:dyDescent="0.35">
      <c r="A139" s="6" t="s">
        <v>3</v>
      </c>
      <c r="B139" s="20">
        <v>4.2391280458784326E-2</v>
      </c>
      <c r="C139" s="23">
        <v>0</v>
      </c>
      <c r="D139" s="66"/>
      <c r="E139" s="66"/>
      <c r="F139" s="66"/>
      <c r="G139" s="66"/>
      <c r="H139" s="66"/>
      <c r="K139" s="6" t="s">
        <v>3</v>
      </c>
      <c r="L139" s="20">
        <v>4.2391280458784326E-2</v>
      </c>
      <c r="M139" s="23">
        <v>0</v>
      </c>
      <c r="N139" s="66"/>
      <c r="O139" s="66"/>
      <c r="P139" s="66"/>
      <c r="Q139" s="66"/>
      <c r="R139" s="66"/>
      <c r="U139" s="65"/>
      <c r="V139" s="65"/>
      <c r="W139" s="65"/>
      <c r="X139" s="65"/>
      <c r="Y139" s="65"/>
      <c r="Z139" s="65"/>
      <c r="AA139" s="65"/>
      <c r="AB139" s="65"/>
    </row>
    <row r="140" spans="1:28" ht="15.5" x14ac:dyDescent="0.35">
      <c r="A140" s="6" t="s">
        <v>4</v>
      </c>
      <c r="B140" s="20">
        <v>0.27105391138211221</v>
      </c>
      <c r="C140" s="23">
        <v>9.2911588782247798E-2</v>
      </c>
      <c r="D140" s="66"/>
      <c r="E140" s="66"/>
      <c r="F140" s="66"/>
      <c r="G140" s="66"/>
      <c r="H140" s="66"/>
      <c r="K140" s="6" t="s">
        <v>4</v>
      </c>
      <c r="L140" s="20">
        <v>0.27105391138211221</v>
      </c>
      <c r="M140" s="23">
        <v>0.12088649351520356</v>
      </c>
      <c r="N140" s="66"/>
      <c r="O140" s="66"/>
      <c r="P140" s="66"/>
      <c r="Q140" s="66"/>
      <c r="R140" s="66"/>
      <c r="U140" s="65"/>
      <c r="V140" s="65"/>
      <c r="W140" s="65"/>
      <c r="X140" s="65"/>
      <c r="Y140" s="65"/>
      <c r="Z140" s="65"/>
      <c r="AA140" s="65"/>
      <c r="AB140" s="65"/>
    </row>
    <row r="141" spans="1:28" ht="15.5" x14ac:dyDescent="0.35">
      <c r="A141" s="6" t="s">
        <v>5</v>
      </c>
      <c r="B141" s="20">
        <v>0.13670020780747316</v>
      </c>
      <c r="C141" s="23">
        <v>0</v>
      </c>
      <c r="D141" s="65"/>
      <c r="E141" s="65"/>
      <c r="F141" s="65"/>
      <c r="G141" s="65"/>
      <c r="H141" s="65"/>
      <c r="K141" s="6" t="s">
        <v>5</v>
      </c>
      <c r="L141" s="20">
        <v>0.13670020780747316</v>
      </c>
      <c r="M141" s="23">
        <v>0</v>
      </c>
      <c r="N141" s="65"/>
      <c r="O141" s="65"/>
      <c r="P141" s="65"/>
      <c r="Q141" s="65"/>
      <c r="R141" s="65"/>
      <c r="U141" s="65"/>
      <c r="V141" s="65"/>
      <c r="W141" s="65"/>
      <c r="X141" s="65"/>
      <c r="Y141" s="65"/>
      <c r="Z141" s="65"/>
      <c r="AA141" s="65"/>
      <c r="AB141" s="65"/>
    </row>
    <row r="142" spans="1:28" ht="15.5" x14ac:dyDescent="0.35">
      <c r="A142" s="6" t="s">
        <v>6</v>
      </c>
      <c r="B142" s="20">
        <v>0.11676615658866349</v>
      </c>
      <c r="C142" s="23">
        <v>0</v>
      </c>
      <c r="D142" s="65"/>
      <c r="E142" s="65"/>
      <c r="F142" s="65"/>
      <c r="G142" s="65"/>
      <c r="H142" s="65"/>
      <c r="K142" s="6" t="s">
        <v>6</v>
      </c>
      <c r="L142" s="20">
        <v>0.11676615658866349</v>
      </c>
      <c r="M142" s="23">
        <v>0</v>
      </c>
      <c r="N142" s="65"/>
      <c r="O142" s="65"/>
      <c r="P142" s="65"/>
      <c r="Q142" s="65"/>
      <c r="R142" s="65"/>
      <c r="U142" s="65"/>
      <c r="V142" s="65"/>
      <c r="W142" s="65"/>
      <c r="X142" s="65"/>
      <c r="Y142" s="65"/>
      <c r="Z142" s="65"/>
      <c r="AA142" s="65"/>
      <c r="AB142" s="65"/>
    </row>
    <row r="143" spans="1:28" ht="15.5" x14ac:dyDescent="0.35">
      <c r="A143" s="6" t="s">
        <v>7</v>
      </c>
      <c r="B143" s="20">
        <v>0.19109489942337862</v>
      </c>
      <c r="C143" s="23">
        <v>0.27796612135861554</v>
      </c>
      <c r="D143" s="65"/>
      <c r="E143" s="65"/>
      <c r="F143" s="65"/>
      <c r="G143" s="65"/>
      <c r="H143" s="65"/>
      <c r="K143" s="6" t="s">
        <v>7</v>
      </c>
      <c r="L143" s="20">
        <v>0.19109489942337862</v>
      </c>
      <c r="M143" s="23">
        <v>4.6839864604594966E-2</v>
      </c>
      <c r="N143" s="65"/>
      <c r="O143" s="65"/>
      <c r="P143" s="65"/>
      <c r="Q143" s="65"/>
      <c r="R143" s="65"/>
      <c r="U143" s="65"/>
      <c r="V143" s="65"/>
      <c r="W143" s="65"/>
      <c r="X143" s="65"/>
      <c r="Y143" s="65"/>
      <c r="Z143" s="65"/>
      <c r="AA143" s="65"/>
      <c r="AB143" s="65"/>
    </row>
    <row r="144" spans="1:28" ht="15.5" x14ac:dyDescent="0.35">
      <c r="A144" s="6" t="s">
        <v>8</v>
      </c>
      <c r="B144" s="20">
        <v>-3.7197964699965641E-2</v>
      </c>
      <c r="C144" s="23">
        <v>0</v>
      </c>
      <c r="D144" s="65"/>
      <c r="E144" s="65"/>
      <c r="F144" s="65"/>
      <c r="G144" s="65"/>
      <c r="H144" s="65"/>
      <c r="K144" s="6" t="s">
        <v>8</v>
      </c>
      <c r="L144" s="20">
        <v>-3.7197964699965641E-2</v>
      </c>
      <c r="M144" s="23">
        <v>0</v>
      </c>
      <c r="N144" s="65"/>
      <c r="O144" s="65"/>
      <c r="P144" s="65"/>
      <c r="Q144" s="65"/>
      <c r="R144" s="65"/>
      <c r="U144" s="65"/>
      <c r="V144" s="65"/>
      <c r="W144" s="65"/>
      <c r="X144" s="65"/>
      <c r="Y144" s="65"/>
      <c r="Z144" s="65"/>
      <c r="AA144" s="65"/>
      <c r="AB144" s="65"/>
    </row>
    <row r="145" spans="1:28" ht="15.5" x14ac:dyDescent="0.35">
      <c r="A145" s="6" t="s">
        <v>9</v>
      </c>
      <c r="B145" s="20">
        <v>0.15975950333029129</v>
      </c>
      <c r="C145" s="23">
        <v>0</v>
      </c>
      <c r="D145" s="65"/>
      <c r="E145" s="65"/>
      <c r="F145" s="65"/>
      <c r="G145" s="65"/>
      <c r="H145" s="65"/>
      <c r="K145" s="6" t="s">
        <v>9</v>
      </c>
      <c r="L145" s="20">
        <v>0.15975950333029129</v>
      </c>
      <c r="M145" s="23">
        <v>0</v>
      </c>
      <c r="N145" s="65"/>
      <c r="O145" s="65"/>
      <c r="P145" s="65"/>
      <c r="Q145" s="65"/>
      <c r="R145" s="65"/>
      <c r="U145" s="65"/>
      <c r="V145" s="65"/>
      <c r="W145" s="65"/>
      <c r="X145" s="65"/>
      <c r="Y145" s="65"/>
      <c r="Z145" s="65"/>
      <c r="AA145" s="65"/>
      <c r="AB145" s="65"/>
    </row>
    <row r="146" spans="1:28" ht="15.5" x14ac:dyDescent="0.35">
      <c r="A146" s="6" t="s">
        <v>10</v>
      </c>
      <c r="B146" s="20">
        <v>0.1096751689273163</v>
      </c>
      <c r="C146" s="23">
        <v>0.10654226399842279</v>
      </c>
      <c r="D146" s="65"/>
      <c r="E146" s="65"/>
      <c r="F146" s="65"/>
      <c r="G146" s="65"/>
      <c r="H146" s="65"/>
      <c r="K146" s="6" t="s">
        <v>10</v>
      </c>
      <c r="L146" s="20">
        <v>0.1096751689273163</v>
      </c>
      <c r="M146" s="23">
        <v>0</v>
      </c>
      <c r="N146" s="65"/>
      <c r="O146" s="65"/>
      <c r="P146" s="65"/>
      <c r="Q146" s="65"/>
      <c r="R146" s="65"/>
      <c r="U146" s="65"/>
      <c r="V146" s="65"/>
      <c r="W146" s="65"/>
      <c r="X146" s="65"/>
      <c r="Y146" s="65"/>
      <c r="Z146" s="65"/>
      <c r="AA146" s="65"/>
      <c r="AB146" s="65"/>
    </row>
    <row r="147" spans="1:28" ht="15.5" x14ac:dyDescent="0.35">
      <c r="A147" s="6" t="s">
        <v>11</v>
      </c>
      <c r="B147" s="20">
        <v>0.3668735385715004</v>
      </c>
      <c r="C147" s="23">
        <v>0.29480026143115556</v>
      </c>
      <c r="D147" s="65"/>
      <c r="E147" s="65"/>
      <c r="F147" s="65"/>
      <c r="G147" s="65"/>
      <c r="H147" s="65"/>
      <c r="K147" s="6" t="s">
        <v>11</v>
      </c>
      <c r="L147" s="20">
        <v>0.3668735385715004</v>
      </c>
      <c r="M147" s="23">
        <v>0.7530450388005574</v>
      </c>
      <c r="N147" s="65"/>
      <c r="O147" s="65"/>
      <c r="P147" s="65"/>
      <c r="Q147" s="65"/>
      <c r="R147" s="65"/>
      <c r="U147" s="65"/>
      <c r="V147" s="65"/>
      <c r="W147" s="65"/>
      <c r="X147" s="65"/>
      <c r="Y147" s="65"/>
      <c r="Z147" s="65"/>
      <c r="AA147" s="65"/>
      <c r="AB147" s="65"/>
    </row>
    <row r="148" spans="1:28" ht="16" thickBot="1" x14ac:dyDescent="0.4">
      <c r="A148" s="6" t="s">
        <v>12</v>
      </c>
      <c r="B148" s="21">
        <v>0.20708722422129289</v>
      </c>
      <c r="C148" s="24">
        <v>5.849388491179109E-2</v>
      </c>
      <c r="D148" s="65"/>
      <c r="E148" s="65"/>
      <c r="F148" s="65"/>
      <c r="G148" s="65"/>
      <c r="H148" s="65"/>
      <c r="K148" s="6" t="s">
        <v>12</v>
      </c>
      <c r="L148" s="21">
        <v>0.20708722422129289</v>
      </c>
      <c r="M148" s="24">
        <v>0</v>
      </c>
      <c r="N148" s="65"/>
      <c r="O148" s="65"/>
      <c r="P148" s="65"/>
      <c r="Q148" s="65"/>
      <c r="R148" s="65"/>
      <c r="U148" s="65"/>
      <c r="V148" s="65"/>
      <c r="W148" s="65"/>
      <c r="X148" s="65"/>
      <c r="Y148" s="65"/>
      <c r="Z148" s="65"/>
      <c r="AA148" s="65"/>
      <c r="AB148" s="65"/>
    </row>
    <row r="149" spans="1:28" x14ac:dyDescent="0.35">
      <c r="K149" s="65"/>
      <c r="L149" s="65"/>
      <c r="M149" s="65"/>
      <c r="N149" s="65"/>
      <c r="O149" s="65"/>
      <c r="P149" s="65"/>
      <c r="Q149" s="65"/>
      <c r="R149" s="65"/>
      <c r="U149" s="65"/>
      <c r="V149" s="65"/>
      <c r="W149" s="65"/>
      <c r="X149" s="65"/>
      <c r="Y149" s="65"/>
      <c r="Z149" s="65"/>
      <c r="AA149" s="65"/>
      <c r="AB149" s="65"/>
    </row>
    <row r="150" spans="1:28" x14ac:dyDescent="0.35">
      <c r="U150" s="65"/>
      <c r="V150" s="65"/>
      <c r="W150" s="65"/>
      <c r="X150" s="65"/>
      <c r="Y150" s="65"/>
      <c r="Z150" s="65"/>
      <c r="AA150" s="65"/>
      <c r="AB150" s="65"/>
    </row>
    <row r="151" spans="1:28" x14ac:dyDescent="0.35">
      <c r="U151" s="65"/>
      <c r="V151" s="65"/>
      <c r="W151" s="65"/>
      <c r="X151" s="65"/>
      <c r="Y151" s="65"/>
      <c r="Z151" s="65"/>
      <c r="AA151" s="65"/>
      <c r="AB151" s="65"/>
    </row>
    <row r="152" spans="1:28" x14ac:dyDescent="0.35">
      <c r="U152" s="65"/>
      <c r="V152" s="65"/>
      <c r="W152" s="65"/>
      <c r="X152" s="65"/>
      <c r="Y152" s="65"/>
      <c r="Z152" s="65"/>
      <c r="AA152" s="65"/>
      <c r="AB152" s="65"/>
    </row>
    <row r="153" spans="1:28" x14ac:dyDescent="0.35">
      <c r="U153" s="65"/>
      <c r="V153" s="65"/>
      <c r="W153" s="65"/>
      <c r="X153" s="65"/>
      <c r="Y153" s="65"/>
      <c r="Z153" s="65"/>
      <c r="AA153" s="65"/>
      <c r="AB153" s="65"/>
    </row>
    <row r="154" spans="1:28" x14ac:dyDescent="0.35">
      <c r="U154" s="65"/>
      <c r="V154" s="65"/>
      <c r="W154" s="65"/>
      <c r="X154" s="65"/>
      <c r="Y154" s="65"/>
      <c r="Z154" s="65"/>
      <c r="AA154" s="65"/>
      <c r="AB154" s="65"/>
    </row>
    <row r="155" spans="1:28" x14ac:dyDescent="0.35">
      <c r="U155" s="65"/>
      <c r="V155" s="65"/>
      <c r="W155" s="65"/>
      <c r="X155" s="65"/>
      <c r="Y155" s="65"/>
      <c r="Z155" s="65"/>
      <c r="AA155" s="65"/>
      <c r="AB155" s="65"/>
    </row>
    <row r="156" spans="1:28" x14ac:dyDescent="0.35">
      <c r="U156" s="65"/>
      <c r="V156" s="65"/>
      <c r="W156" s="65"/>
      <c r="X156" s="65"/>
      <c r="Y156" s="65"/>
      <c r="Z156" s="65"/>
      <c r="AA156" s="65"/>
      <c r="AB156" s="65"/>
    </row>
    <row r="157" spans="1:28" x14ac:dyDescent="0.35">
      <c r="U157" s="65"/>
      <c r="V157" s="65"/>
      <c r="W157" s="65"/>
      <c r="X157" s="65"/>
      <c r="Y157" s="65"/>
      <c r="Z157" s="65"/>
      <c r="AA157" s="65"/>
      <c r="AB157" s="65"/>
    </row>
    <row r="158" spans="1:28" x14ac:dyDescent="0.35">
      <c r="U158" s="65"/>
      <c r="V158" s="65"/>
      <c r="W158" s="65"/>
      <c r="X158" s="65"/>
      <c r="Y158" s="65"/>
      <c r="Z158" s="65"/>
      <c r="AA158" s="65"/>
      <c r="AB158" s="65"/>
    </row>
    <row r="159" spans="1:28" x14ac:dyDescent="0.35">
      <c r="U159" s="65"/>
      <c r="V159" s="65"/>
      <c r="W159" s="65"/>
      <c r="X159" s="65"/>
      <c r="Y159" s="65"/>
      <c r="Z159" s="65"/>
      <c r="AA159" s="65"/>
      <c r="AB159" s="65"/>
    </row>
    <row r="160" spans="1:28" x14ac:dyDescent="0.35">
      <c r="U160" s="65"/>
      <c r="V160" s="65"/>
      <c r="W160" s="65"/>
      <c r="X160" s="65"/>
      <c r="Y160" s="65"/>
      <c r="Z160" s="65"/>
      <c r="AA160" s="65"/>
      <c r="AB160" s="65"/>
    </row>
    <row r="161" spans="21:28" x14ac:dyDescent="0.35">
      <c r="U161" s="65"/>
      <c r="V161" s="65"/>
      <c r="W161" s="65"/>
      <c r="X161" s="65"/>
      <c r="Y161" s="65"/>
      <c r="Z161" s="65"/>
      <c r="AA161" s="65"/>
      <c r="AB161" s="65"/>
    </row>
    <row r="162" spans="21:28" x14ac:dyDescent="0.35">
      <c r="U162" s="65"/>
      <c r="V162" s="65"/>
      <c r="W162" s="65"/>
      <c r="X162" s="65"/>
      <c r="Y162" s="65"/>
      <c r="Z162" s="65"/>
      <c r="AA162" s="65"/>
      <c r="AB162" s="65"/>
    </row>
    <row r="163" spans="21:28" x14ac:dyDescent="0.35">
      <c r="U163" s="65"/>
      <c r="V163" s="65"/>
      <c r="W163" s="65"/>
      <c r="X163" s="65"/>
      <c r="Y163" s="65"/>
      <c r="Z163" s="65"/>
      <c r="AA163" s="65"/>
      <c r="AB163" s="65"/>
    </row>
    <row r="164" spans="21:28" x14ac:dyDescent="0.35">
      <c r="U164" s="65"/>
      <c r="V164" s="65"/>
      <c r="W164" s="65"/>
      <c r="X164" s="65"/>
      <c r="Y164" s="65"/>
      <c r="Z164" s="65"/>
      <c r="AA164" s="65"/>
      <c r="AB164" s="65"/>
    </row>
    <row r="165" spans="21:28" x14ac:dyDescent="0.35">
      <c r="U165" s="65"/>
      <c r="V165" s="65"/>
      <c r="W165" s="65"/>
      <c r="X165" s="65"/>
      <c r="Y165" s="65"/>
      <c r="Z165" s="65"/>
      <c r="AA165" s="65"/>
      <c r="AB165" s="65"/>
    </row>
    <row r="166" spans="21:28" x14ac:dyDescent="0.35">
      <c r="U166" s="65"/>
      <c r="V166" s="65"/>
      <c r="W166" s="65"/>
      <c r="X166" s="65"/>
      <c r="Y166" s="65"/>
      <c r="Z166" s="65"/>
      <c r="AA166" s="65"/>
      <c r="AB166" s="65"/>
    </row>
    <row r="167" spans="21:28" x14ac:dyDescent="0.35">
      <c r="U167" s="65"/>
      <c r="V167" s="65"/>
      <c r="W167" s="65"/>
      <c r="X167" s="65"/>
      <c r="Y167" s="65"/>
      <c r="Z167" s="65"/>
      <c r="AA167" s="65"/>
      <c r="AB167" s="65"/>
    </row>
    <row r="168" spans="21:28" x14ac:dyDescent="0.35">
      <c r="U168" s="65"/>
      <c r="V168" s="65"/>
      <c r="W168" s="65"/>
      <c r="X168" s="65"/>
      <c r="Y168" s="65"/>
      <c r="Z168" s="65"/>
      <c r="AA168" s="65"/>
      <c r="AB168" s="65"/>
    </row>
    <row r="169" spans="21:28" x14ac:dyDescent="0.35">
      <c r="U169" s="65"/>
      <c r="V169" s="65"/>
      <c r="W169" s="65"/>
      <c r="X169" s="65"/>
      <c r="Y169" s="65"/>
      <c r="Z169" s="65"/>
      <c r="AA169" s="65"/>
      <c r="AB169" s="65"/>
    </row>
    <row r="170" spans="21:28" x14ac:dyDescent="0.35">
      <c r="U170" s="65"/>
      <c r="V170" s="65"/>
      <c r="W170" s="65"/>
      <c r="X170" s="65"/>
      <c r="Y170" s="65"/>
      <c r="Z170" s="65"/>
      <c r="AA170" s="65"/>
      <c r="AB170" s="65"/>
    </row>
    <row r="171" spans="21:28" x14ac:dyDescent="0.35">
      <c r="U171" s="65"/>
      <c r="V171" s="65"/>
      <c r="W171" s="65"/>
      <c r="X171" s="65"/>
      <c r="Y171" s="65"/>
      <c r="Z171" s="65"/>
      <c r="AA171" s="65"/>
      <c r="AB171" s="65"/>
    </row>
    <row r="172" spans="21:28" x14ac:dyDescent="0.35">
      <c r="U172" s="65"/>
      <c r="V172" s="65"/>
      <c r="W172" s="65"/>
      <c r="X172" s="65"/>
      <c r="Y172" s="65"/>
      <c r="Z172" s="65"/>
      <c r="AA172" s="65"/>
      <c r="AB172" s="65"/>
    </row>
    <row r="173" spans="21:28" x14ac:dyDescent="0.35">
      <c r="U173" s="65"/>
      <c r="V173" s="65"/>
      <c r="W173" s="65"/>
      <c r="X173" s="65"/>
      <c r="Y173" s="65"/>
      <c r="Z173" s="65"/>
      <c r="AA173" s="65"/>
      <c r="AB173" s="65"/>
    </row>
    <row r="174" spans="21:28" x14ac:dyDescent="0.35">
      <c r="U174" s="65"/>
      <c r="V174" s="65"/>
      <c r="W174" s="65"/>
      <c r="X174" s="65"/>
      <c r="Y174" s="65"/>
      <c r="Z174" s="65"/>
      <c r="AA174" s="65"/>
      <c r="AB174" s="65"/>
    </row>
    <row r="175" spans="21:28" x14ac:dyDescent="0.35">
      <c r="U175" s="65"/>
      <c r="V175" s="65"/>
      <c r="W175" s="65"/>
      <c r="X175" s="65"/>
      <c r="Y175" s="65"/>
      <c r="Z175" s="65"/>
      <c r="AA175" s="65"/>
      <c r="AB175" s="65"/>
    </row>
    <row r="176" spans="21:28" x14ac:dyDescent="0.35">
      <c r="U176" s="65"/>
      <c r="V176" s="65"/>
      <c r="W176" s="65"/>
      <c r="X176" s="65"/>
      <c r="Y176" s="65"/>
      <c r="Z176" s="65"/>
      <c r="AA176" s="65"/>
      <c r="AB176" s="65"/>
    </row>
    <row r="177" spans="21:28" x14ac:dyDescent="0.35">
      <c r="U177" s="65"/>
      <c r="V177" s="65"/>
      <c r="W177" s="65"/>
      <c r="X177" s="65"/>
      <c r="Y177" s="65"/>
      <c r="Z177" s="65"/>
      <c r="AA177" s="65"/>
      <c r="AB177" s="65"/>
    </row>
    <row r="178" spans="21:28" x14ac:dyDescent="0.35">
      <c r="U178" s="65"/>
      <c r="V178" s="65"/>
      <c r="W178" s="65"/>
      <c r="X178" s="65"/>
      <c r="Y178" s="65"/>
      <c r="Z178" s="65"/>
      <c r="AA178" s="65"/>
      <c r="AB178" s="65"/>
    </row>
    <row r="179" spans="21:28" x14ac:dyDescent="0.35">
      <c r="U179" s="65"/>
      <c r="V179" s="65"/>
      <c r="W179" s="65"/>
      <c r="X179" s="65"/>
      <c r="Y179" s="65"/>
      <c r="Z179" s="65"/>
      <c r="AA179" s="65"/>
      <c r="AB179" s="65"/>
    </row>
    <row r="180" spans="21:28" x14ac:dyDescent="0.35">
      <c r="U180" s="65"/>
      <c r="V180" s="65"/>
      <c r="W180" s="65"/>
      <c r="X180" s="65"/>
      <c r="Y180" s="65"/>
      <c r="Z180" s="65"/>
      <c r="AA180" s="65"/>
      <c r="AB180" s="65"/>
    </row>
    <row r="181" spans="21:28" x14ac:dyDescent="0.35">
      <c r="U181" s="65"/>
      <c r="V181" s="65"/>
      <c r="W181" s="65"/>
      <c r="X181" s="65"/>
      <c r="Y181" s="65"/>
      <c r="Z181" s="65"/>
      <c r="AA181" s="65"/>
      <c r="AB181" s="65"/>
    </row>
    <row r="182" spans="21:28" x14ac:dyDescent="0.35">
      <c r="U182" s="65"/>
      <c r="V182" s="65"/>
      <c r="W182" s="65"/>
      <c r="X182" s="65"/>
      <c r="Y182" s="65"/>
      <c r="Z182" s="65"/>
      <c r="AA182" s="65"/>
      <c r="AB182" s="65"/>
    </row>
    <row r="183" spans="21:28" x14ac:dyDescent="0.35">
      <c r="U183" s="65"/>
      <c r="V183" s="65"/>
      <c r="W183" s="65"/>
      <c r="X183" s="65"/>
      <c r="Y183" s="65"/>
      <c r="Z183" s="65"/>
      <c r="AA183" s="65"/>
      <c r="AB183" s="65"/>
    </row>
    <row r="184" spans="21:28" x14ac:dyDescent="0.35">
      <c r="U184" s="65"/>
      <c r="V184" s="65"/>
      <c r="W184" s="65"/>
      <c r="X184" s="65"/>
      <c r="Y184" s="65"/>
      <c r="Z184" s="65"/>
      <c r="AA184" s="65"/>
      <c r="AB184" s="65"/>
    </row>
    <row r="185" spans="21:28" x14ac:dyDescent="0.35">
      <c r="U185" s="65"/>
      <c r="V185" s="65"/>
      <c r="W185" s="65"/>
      <c r="X185" s="65"/>
      <c r="Y185" s="65"/>
      <c r="Z185" s="65"/>
      <c r="AA185" s="65"/>
      <c r="AB185" s="65"/>
    </row>
    <row r="186" spans="21:28" x14ac:dyDescent="0.35">
      <c r="U186" s="65"/>
      <c r="V186" s="65"/>
      <c r="W186" s="65"/>
      <c r="X186" s="65"/>
      <c r="Y186" s="65"/>
      <c r="Z186" s="65"/>
      <c r="AA186" s="65"/>
      <c r="AB186" s="65"/>
    </row>
    <row r="187" spans="21:28" x14ac:dyDescent="0.35">
      <c r="U187" s="65"/>
      <c r="V187" s="65"/>
      <c r="W187" s="65"/>
      <c r="X187" s="65"/>
      <c r="Y187" s="65"/>
      <c r="Z187" s="65"/>
      <c r="AA187" s="65"/>
      <c r="AB187" s="65"/>
    </row>
    <row r="188" spans="21:28" x14ac:dyDescent="0.35">
      <c r="U188" s="65"/>
      <c r="V188" s="65"/>
      <c r="W188" s="65"/>
      <c r="X188" s="65"/>
      <c r="Y188" s="65"/>
      <c r="Z188" s="65"/>
      <c r="AA188" s="65"/>
      <c r="AB188" s="65"/>
    </row>
    <row r="189" spans="21:28" x14ac:dyDescent="0.35">
      <c r="U189" s="65"/>
      <c r="V189" s="65"/>
      <c r="W189" s="65"/>
      <c r="X189" s="65"/>
      <c r="Y189" s="65"/>
      <c r="Z189" s="65"/>
      <c r="AA189" s="65"/>
      <c r="AB189" s="65"/>
    </row>
    <row r="190" spans="21:28" x14ac:dyDescent="0.35">
      <c r="U190" s="65"/>
      <c r="V190" s="65"/>
      <c r="W190" s="65"/>
      <c r="X190" s="65"/>
      <c r="Y190" s="65"/>
      <c r="Z190" s="65"/>
      <c r="AA190" s="65"/>
      <c r="AB190" s="65"/>
    </row>
    <row r="191" spans="21:28" x14ac:dyDescent="0.35">
      <c r="U191" s="65"/>
      <c r="V191" s="65"/>
      <c r="W191" s="65"/>
      <c r="X191" s="65"/>
      <c r="Y191" s="65"/>
      <c r="Z191" s="65"/>
      <c r="AA191" s="65"/>
      <c r="AB191" s="65"/>
    </row>
    <row r="192" spans="21:28" x14ac:dyDescent="0.35">
      <c r="U192" s="65"/>
      <c r="V192" s="65"/>
      <c r="W192" s="65"/>
      <c r="X192" s="65"/>
      <c r="Y192" s="65"/>
      <c r="Z192" s="65"/>
      <c r="AA192" s="65"/>
      <c r="AB192" s="65"/>
    </row>
    <row r="193" spans="21:28" x14ac:dyDescent="0.35">
      <c r="U193" s="65"/>
      <c r="V193" s="65"/>
      <c r="W193" s="65"/>
      <c r="X193" s="65"/>
      <c r="Y193" s="65"/>
      <c r="Z193" s="65"/>
      <c r="AA193" s="65"/>
      <c r="AB193" s="65"/>
    </row>
    <row r="194" spans="21:28" x14ac:dyDescent="0.35">
      <c r="U194" s="65"/>
      <c r="V194" s="65"/>
      <c r="W194" s="65"/>
      <c r="X194" s="65"/>
      <c r="Y194" s="65"/>
      <c r="Z194" s="65"/>
      <c r="AA194" s="65"/>
      <c r="AB194" s="65"/>
    </row>
    <row r="195" spans="21:28" x14ac:dyDescent="0.35">
      <c r="U195" s="65"/>
      <c r="V195" s="65"/>
      <c r="W195" s="65"/>
      <c r="X195" s="65"/>
      <c r="Y195" s="65"/>
      <c r="Z195" s="65"/>
      <c r="AA195" s="65"/>
      <c r="AB195" s="65"/>
    </row>
    <row r="196" spans="21:28" x14ac:dyDescent="0.35">
      <c r="U196" s="65"/>
      <c r="V196" s="65"/>
      <c r="W196" s="65"/>
      <c r="X196" s="65"/>
      <c r="Y196" s="65"/>
      <c r="Z196" s="65"/>
      <c r="AA196" s="65"/>
      <c r="AB196" s="65"/>
    </row>
    <row r="197" spans="21:28" x14ac:dyDescent="0.35">
      <c r="U197" s="65"/>
      <c r="V197" s="65"/>
      <c r="W197" s="65"/>
      <c r="X197" s="65"/>
      <c r="Y197" s="65"/>
      <c r="Z197" s="65"/>
      <c r="AA197" s="65"/>
      <c r="AB197" s="65"/>
    </row>
    <row r="198" spans="21:28" x14ac:dyDescent="0.35">
      <c r="U198" s="65"/>
      <c r="V198" s="65"/>
      <c r="W198" s="65"/>
      <c r="X198" s="65"/>
      <c r="Y198" s="65"/>
      <c r="Z198" s="65"/>
      <c r="AA198" s="65"/>
      <c r="AB198" s="65"/>
    </row>
    <row r="199" spans="21:28" x14ac:dyDescent="0.35">
      <c r="U199" s="65"/>
      <c r="V199" s="65"/>
      <c r="W199" s="65"/>
      <c r="X199" s="65"/>
      <c r="Y199" s="65"/>
      <c r="Z199" s="65"/>
      <c r="AA199" s="65"/>
      <c r="AB199" s="65"/>
    </row>
    <row r="200" spans="21:28" x14ac:dyDescent="0.35">
      <c r="U200" s="65"/>
      <c r="V200" s="65"/>
      <c r="W200" s="65"/>
      <c r="X200" s="65"/>
      <c r="Y200" s="65"/>
      <c r="Z200" s="65"/>
      <c r="AA200" s="65"/>
      <c r="AB200" s="65"/>
    </row>
    <row r="201" spans="21:28" x14ac:dyDescent="0.35">
      <c r="U201" s="65"/>
      <c r="V201" s="65"/>
      <c r="W201" s="65"/>
      <c r="X201" s="65"/>
      <c r="Y201" s="65"/>
      <c r="Z201" s="65"/>
      <c r="AA201" s="65"/>
      <c r="AB201" s="65"/>
    </row>
  </sheetData>
  <mergeCells count="1">
    <mergeCell ref="A5:D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677E4-D4A2-4CA7-998F-1063A9C5C34B}">
  <sheetPr codeName="Feuil6"/>
  <dimension ref="A2:S94"/>
  <sheetViews>
    <sheetView topLeftCell="A3" zoomScale="37" zoomScaleNormal="176" workbookViewId="0">
      <selection activeCell="Q26" sqref="Q26"/>
    </sheetView>
  </sheetViews>
  <sheetFormatPr baseColWidth="10" defaultColWidth="10.7265625" defaultRowHeight="14.5" x14ac:dyDescent="0.35"/>
  <cols>
    <col min="2" max="2" width="15.6328125" customWidth="1"/>
    <col min="3" max="3" width="13.81640625" customWidth="1"/>
    <col min="5" max="5" width="12.81640625" customWidth="1"/>
    <col min="7" max="7" width="13.54296875" customWidth="1"/>
    <col min="8" max="8" width="13.81640625" customWidth="1"/>
    <col min="10" max="10" width="17.1796875" customWidth="1"/>
    <col min="13" max="13" width="12.90625" customWidth="1"/>
  </cols>
  <sheetData>
    <row r="2" spans="1:8" x14ac:dyDescent="0.35">
      <c r="A2" s="18" t="s">
        <v>45</v>
      </c>
    </row>
    <row r="3" spans="1:8" x14ac:dyDescent="0.35">
      <c r="A3" s="33" t="s">
        <v>74</v>
      </c>
    </row>
    <row r="5" spans="1:8" x14ac:dyDescent="0.35">
      <c r="A5" s="82" t="s">
        <v>50</v>
      </c>
      <c r="B5" s="82"/>
      <c r="C5" s="82"/>
      <c r="D5" s="82"/>
      <c r="E5" s="51">
        <f>B25</f>
        <v>4.6781237156585651E-2</v>
      </c>
    </row>
    <row r="7" spans="1:8" ht="44" thickBot="1" x14ac:dyDescent="0.4">
      <c r="A7" s="57"/>
      <c r="B7" s="46" t="s">
        <v>60</v>
      </c>
      <c r="C7" s="34" t="s">
        <v>36</v>
      </c>
      <c r="D7" s="35" t="s">
        <v>32</v>
      </c>
      <c r="E7" s="35" t="s">
        <v>42</v>
      </c>
      <c r="F7" s="35" t="s">
        <v>34</v>
      </c>
      <c r="G7" s="35" t="s">
        <v>33</v>
      </c>
      <c r="H7" s="35" t="s">
        <v>35</v>
      </c>
    </row>
    <row r="8" spans="1:8" ht="16" thickBot="1" x14ac:dyDescent="0.4">
      <c r="A8" s="6" t="s">
        <v>1</v>
      </c>
      <c r="B8" s="20">
        <f>AVERAGE(r_BN.PA)*12</f>
        <v>8.0141008757000587E-2</v>
      </c>
      <c r="C8" s="23">
        <v>0.32815234576281788</v>
      </c>
      <c r="D8" s="25">
        <f>SUM(C8:C19)</f>
        <v>0.99999999999999978</v>
      </c>
      <c r="E8" s="50">
        <f>E5</f>
        <v>4.6781237156585651E-2</v>
      </c>
      <c r="F8" s="39" cm="1">
        <f t="array" ref="F8">MMULT(TRANSPOSE(C8:C19),B8:B19)</f>
        <v>4.6781233307257239E-2</v>
      </c>
      <c r="G8" s="39" cm="1">
        <f t="array" ref="G8">MMULT(MMULT(TRANSPOSE(C8:C19),Cov),C8:C19)*12</f>
        <v>1.5744262022427343E-2</v>
      </c>
      <c r="H8" s="39">
        <f>SQRT(G8)</f>
        <v>0.12547614124775811</v>
      </c>
    </row>
    <row r="9" spans="1:8" ht="15.5" x14ac:dyDescent="0.35">
      <c r="A9" s="6" t="s">
        <v>2</v>
      </c>
      <c r="B9" s="20">
        <f>AVERAGE(r_BNP.PA)*12</f>
        <v>0.32603851869449318</v>
      </c>
      <c r="C9" s="23">
        <v>-5.8842772640318043E-2</v>
      </c>
      <c r="D9" s="16"/>
      <c r="E9" s="16"/>
      <c r="F9" s="16"/>
      <c r="G9" s="16"/>
      <c r="H9" s="16"/>
    </row>
    <row r="10" spans="1:8" ht="15.5" x14ac:dyDescent="0.35">
      <c r="A10" s="6" t="s">
        <v>3</v>
      </c>
      <c r="B10" s="20">
        <f>AVERAGE(r_CA.PA)*12</f>
        <v>4.2391280458784326E-2</v>
      </c>
      <c r="C10" s="23">
        <v>0.2227754381552127</v>
      </c>
      <c r="D10" s="16"/>
      <c r="E10" s="16"/>
      <c r="F10" s="16"/>
      <c r="G10" s="16"/>
      <c r="H10" s="16"/>
    </row>
    <row r="11" spans="1:8" ht="15.5" x14ac:dyDescent="0.35">
      <c r="A11" s="6" t="s">
        <v>4</v>
      </c>
      <c r="B11" s="20">
        <f>AVERAGE(r_CS.PA)*12</f>
        <v>0.27105391138211221</v>
      </c>
      <c r="C11" s="23">
        <v>-0.15600427818471485</v>
      </c>
      <c r="D11" s="16"/>
      <c r="E11" s="16"/>
      <c r="F11" s="16"/>
      <c r="G11" s="16"/>
      <c r="H11" s="16"/>
    </row>
    <row r="12" spans="1:8" ht="15.5" x14ac:dyDescent="0.35">
      <c r="A12" s="6" t="s">
        <v>5</v>
      </c>
      <c r="B12" s="20">
        <f>AVERAGE(r_DG.PA)*12</f>
        <v>0.13670020780747316</v>
      </c>
      <c r="C12" s="23">
        <v>-2.0275331218163037E-2</v>
      </c>
      <c r="G12" s="16"/>
      <c r="H12" s="16"/>
    </row>
    <row r="13" spans="1:8" ht="15.5" x14ac:dyDescent="0.35">
      <c r="A13" s="6" t="s">
        <v>6</v>
      </c>
      <c r="B13" s="20">
        <f>AVERAGE(r_EN.PA)*12</f>
        <v>0.11676615658866349</v>
      </c>
      <c r="C13" s="23">
        <v>0.13805223077986695</v>
      </c>
      <c r="G13" s="16"/>
      <c r="H13" s="16"/>
    </row>
    <row r="14" spans="1:8" ht="15.5" x14ac:dyDescent="0.35">
      <c r="A14" s="6" t="s">
        <v>7</v>
      </c>
      <c r="B14" s="20">
        <f>AVERAGE(r_ENGI.PA)*12</f>
        <v>0.19109489942337862</v>
      </c>
      <c r="C14" s="23">
        <v>0.15991561142730903</v>
      </c>
      <c r="G14" s="16"/>
      <c r="H14" s="16"/>
    </row>
    <row r="15" spans="1:8" ht="15.5" x14ac:dyDescent="0.35">
      <c r="A15" s="6" t="s">
        <v>8</v>
      </c>
      <c r="B15" s="20">
        <f>AVERAGE(r_KER.PA)*12</f>
        <v>-3.7197964699965641E-2</v>
      </c>
      <c r="C15" s="23">
        <v>2.1692335651988491E-2</v>
      </c>
      <c r="G15" s="16"/>
      <c r="H15" s="16"/>
    </row>
    <row r="16" spans="1:8" ht="15.5" x14ac:dyDescent="0.35">
      <c r="A16" s="6" t="s">
        <v>9</v>
      </c>
      <c r="B16" s="20">
        <f>AVERAGE(r_ML.PA)*12</f>
        <v>0.15975950333029129</v>
      </c>
      <c r="C16" s="23">
        <v>0.14036139583623319</v>
      </c>
      <c r="G16" s="16"/>
      <c r="H16" s="16"/>
    </row>
    <row r="17" spans="1:8" ht="15.5" x14ac:dyDescent="0.35">
      <c r="A17" s="6" t="s">
        <v>10</v>
      </c>
      <c r="B17" s="20">
        <f>AVERAGE(r_OR.PA)*12</f>
        <v>0.1096751689273163</v>
      </c>
      <c r="C17" s="23">
        <v>0.21566293021133187</v>
      </c>
      <c r="G17" s="16"/>
      <c r="H17" s="16"/>
    </row>
    <row r="18" spans="1:8" ht="15.5" x14ac:dyDescent="0.35">
      <c r="A18" s="6" t="s">
        <v>11</v>
      </c>
      <c r="B18" s="20">
        <f>AVERAGE(r_SGO.PA)*12</f>
        <v>0.3668735385715004</v>
      </c>
      <c r="C18" s="23">
        <v>-0.11534143564592893</v>
      </c>
      <c r="G18" s="16"/>
      <c r="H18" s="16"/>
    </row>
    <row r="19" spans="1:8" ht="16" thickBot="1" x14ac:dyDescent="0.4">
      <c r="A19" s="6" t="s">
        <v>12</v>
      </c>
      <c r="B19" s="21">
        <f>AVERAGE(r_TTE.PA)*12</f>
        <v>0.20708722422129289</v>
      </c>
      <c r="C19" s="24">
        <v>0.12385152986436448</v>
      </c>
      <c r="G19" s="16"/>
      <c r="H19" s="16"/>
    </row>
    <row r="20" spans="1:8" ht="15.5" x14ac:dyDescent="0.35">
      <c r="G20" s="16"/>
      <c r="H20" s="16"/>
    </row>
    <row r="21" spans="1:8" ht="15.5" x14ac:dyDescent="0.35">
      <c r="H21" s="16"/>
    </row>
    <row r="23" spans="1:8" x14ac:dyDescent="0.35">
      <c r="B23" s="31" t="s">
        <v>46</v>
      </c>
      <c r="D23" s="60"/>
    </row>
    <row r="24" spans="1:8" ht="15" thickBot="1" x14ac:dyDescent="0.4">
      <c r="B24" s="32" t="s">
        <v>52</v>
      </c>
      <c r="C24" s="32" t="s">
        <v>47</v>
      </c>
      <c r="D24" s="60"/>
    </row>
    <row r="25" spans="1:8" x14ac:dyDescent="0.35">
      <c r="B25" s="63">
        <v>4.6781237156585651E-2</v>
      </c>
      <c r="C25" s="63">
        <v>0.12547608775929808</v>
      </c>
      <c r="D25" s="60"/>
    </row>
    <row r="26" spans="1:8" x14ac:dyDescent="0.35">
      <c r="B26" s="64">
        <v>0.05</v>
      </c>
      <c r="C26" s="63">
        <v>0.12548859210154087</v>
      </c>
      <c r="D26" s="60"/>
    </row>
    <row r="27" spans="1:8" x14ac:dyDescent="0.35">
      <c r="B27" s="64">
        <v>0.1</v>
      </c>
      <c r="C27" s="63">
        <v>0.12883137540484083</v>
      </c>
      <c r="D27" s="60"/>
    </row>
    <row r="28" spans="1:8" x14ac:dyDescent="0.35">
      <c r="B28" s="64">
        <v>0.2</v>
      </c>
      <c r="C28" s="63">
        <v>0.15104735008349573</v>
      </c>
      <c r="D28" s="60"/>
    </row>
    <row r="29" spans="1:8" x14ac:dyDescent="0.35">
      <c r="B29" s="64">
        <v>0.3</v>
      </c>
      <c r="C29" s="63">
        <v>0.18723359793623517</v>
      </c>
      <c r="D29" s="60"/>
    </row>
    <row r="30" spans="1:8" x14ac:dyDescent="0.35">
      <c r="B30" s="64">
        <v>0.4</v>
      </c>
      <c r="C30" s="63">
        <v>0.23091320698582188</v>
      </c>
      <c r="D30" s="60"/>
    </row>
    <row r="31" spans="1:8" x14ac:dyDescent="0.35">
      <c r="B31" s="42">
        <f>B30+10%</f>
        <v>0.5</v>
      </c>
      <c r="C31" s="26">
        <v>0.27858340859474479</v>
      </c>
      <c r="D31" s="60"/>
    </row>
    <row r="32" spans="1:8" x14ac:dyDescent="0.35">
      <c r="B32" s="42">
        <f t="shared" ref="B32:B43" si="0">B31+10%</f>
        <v>0.6</v>
      </c>
      <c r="C32" s="26">
        <v>0.32851150876769591</v>
      </c>
    </row>
    <row r="33" spans="2:3" x14ac:dyDescent="0.35">
      <c r="B33" s="42">
        <f t="shared" si="0"/>
        <v>0.7</v>
      </c>
      <c r="C33" s="26">
        <v>0.37980822451148882</v>
      </c>
    </row>
    <row r="34" spans="2:3" x14ac:dyDescent="0.35">
      <c r="B34" s="42">
        <f t="shared" si="0"/>
        <v>0.79999999999999993</v>
      </c>
      <c r="C34" s="26">
        <v>0.4319862295314284</v>
      </c>
    </row>
    <row r="35" spans="2:3" x14ac:dyDescent="0.35">
      <c r="B35" s="42">
        <f t="shared" si="0"/>
        <v>0.89999999999999991</v>
      </c>
      <c r="C35" s="26">
        <v>0.48476103070401172</v>
      </c>
    </row>
    <row r="36" spans="2:3" x14ac:dyDescent="0.35">
      <c r="B36" s="42">
        <f t="shared" si="0"/>
        <v>0.99999999999999989</v>
      </c>
      <c r="C36" s="26">
        <v>0.53795701594552248</v>
      </c>
    </row>
    <row r="37" spans="2:3" x14ac:dyDescent="0.35">
      <c r="B37" s="42">
        <f t="shared" si="0"/>
        <v>1.0999999999999999</v>
      </c>
      <c r="C37" s="26">
        <v>0.59146055171167444</v>
      </c>
    </row>
    <row r="38" spans="2:3" x14ac:dyDescent="0.35">
      <c r="B38" s="42">
        <f t="shared" si="0"/>
        <v>1.2</v>
      </c>
      <c r="C38" s="26">
        <v>0.64519513099382142</v>
      </c>
    </row>
    <row r="39" spans="2:3" x14ac:dyDescent="0.35">
      <c r="B39" s="42">
        <f t="shared" si="0"/>
        <v>1.3</v>
      </c>
      <c r="C39" s="26">
        <v>0.69910748050554272</v>
      </c>
    </row>
    <row r="40" spans="2:3" x14ac:dyDescent="0.35">
      <c r="B40" s="42">
        <f t="shared" si="0"/>
        <v>1.4000000000000001</v>
      </c>
      <c r="C40" s="26">
        <v>0.75315942596786412</v>
      </c>
    </row>
    <row r="41" spans="2:3" x14ac:dyDescent="0.35">
      <c r="B41" s="42">
        <f t="shared" si="0"/>
        <v>1.5000000000000002</v>
      </c>
      <c r="C41" s="26">
        <v>0.80732292945163631</v>
      </c>
    </row>
    <row r="42" spans="2:3" x14ac:dyDescent="0.35">
      <c r="B42" s="42">
        <f>B41+10%</f>
        <v>1.6000000000000003</v>
      </c>
      <c r="C42" s="26">
        <v>0.86157877154374274</v>
      </c>
    </row>
    <row r="43" spans="2:3" x14ac:dyDescent="0.35">
      <c r="B43" s="42">
        <f t="shared" si="0"/>
        <v>1.7000000000000004</v>
      </c>
      <c r="C43" s="26">
        <v>0.9159073509015746</v>
      </c>
    </row>
    <row r="44" spans="2:3" x14ac:dyDescent="0.35">
      <c r="B44" s="42">
        <f>B43+10%</f>
        <v>1.8000000000000005</v>
      </c>
      <c r="C44" s="26">
        <v>0.97029765032507087</v>
      </c>
    </row>
    <row r="45" spans="2:3" x14ac:dyDescent="0.35">
      <c r="B45" s="42">
        <f>B44+10%</f>
        <v>1.9000000000000006</v>
      </c>
      <c r="C45" s="26">
        <v>1.0247400223509704</v>
      </c>
    </row>
    <row r="46" spans="2:3" x14ac:dyDescent="0.35">
      <c r="B46" s="42">
        <f>B45+10%</f>
        <v>2.0000000000000004</v>
      </c>
      <c r="C46" s="26">
        <v>1.0792265618827397</v>
      </c>
    </row>
    <row r="47" spans="2:3" x14ac:dyDescent="0.35">
      <c r="B47" s="42">
        <f>B46+10%</f>
        <v>2.1000000000000005</v>
      </c>
      <c r="C47" s="26">
        <v>1.1337509707431708</v>
      </c>
    </row>
    <row r="48" spans="2:3" x14ac:dyDescent="0.35">
      <c r="B48" s="42">
        <f t="shared" ref="B48" si="1">B47+10%</f>
        <v>2.2000000000000006</v>
      </c>
      <c r="C48" s="26">
        <v>1.1883064232471869</v>
      </c>
    </row>
    <row r="52" spans="2:19" ht="44" thickBot="1" x14ac:dyDescent="0.4">
      <c r="B52" s="65"/>
      <c r="C52" s="46" t="s">
        <v>60</v>
      </c>
      <c r="D52" s="34" t="s">
        <v>79</v>
      </c>
      <c r="E52" s="35" t="s">
        <v>32</v>
      </c>
      <c r="F52" s="35" t="s">
        <v>42</v>
      </c>
      <c r="G52" s="35" t="s">
        <v>34</v>
      </c>
      <c r="H52" s="35" t="s">
        <v>33</v>
      </c>
      <c r="I52" s="35" t="s">
        <v>35</v>
      </c>
      <c r="L52" s="65"/>
      <c r="M52" s="46" t="s">
        <v>60</v>
      </c>
      <c r="N52" s="34" t="s">
        <v>79</v>
      </c>
      <c r="O52" s="35" t="s">
        <v>32</v>
      </c>
      <c r="P52" s="35" t="s">
        <v>42</v>
      </c>
      <c r="Q52" s="35" t="s">
        <v>34</v>
      </c>
      <c r="R52" s="35" t="s">
        <v>33</v>
      </c>
      <c r="S52" s="35" t="s">
        <v>35</v>
      </c>
    </row>
    <row r="53" spans="2:19" ht="16" thickBot="1" x14ac:dyDescent="0.4">
      <c r="B53" s="6" t="s">
        <v>1</v>
      </c>
      <c r="C53" s="20">
        <v>8.0141008757000587E-2</v>
      </c>
      <c r="D53" s="23">
        <v>0.32614159054801933</v>
      </c>
      <c r="E53" s="25">
        <v>1.000000000000004</v>
      </c>
      <c r="F53" s="50">
        <v>0.05</v>
      </c>
      <c r="G53" s="39">
        <v>4.9999976585783666E-2</v>
      </c>
      <c r="H53" s="39">
        <v>1.5747412435435905E-2</v>
      </c>
      <c r="I53" s="39">
        <v>0.12548869445267133</v>
      </c>
      <c r="L53" s="6" t="s">
        <v>1</v>
      </c>
      <c r="M53" s="20">
        <v>8.0141008757000587E-2</v>
      </c>
      <c r="N53" s="23">
        <v>0.18726400769245319</v>
      </c>
      <c r="O53" s="25">
        <v>0.99999999999999967</v>
      </c>
      <c r="P53" s="50">
        <v>0.3</v>
      </c>
      <c r="Q53" s="39">
        <v>0.30000000108902841</v>
      </c>
      <c r="R53" s="39">
        <v>3.505642056567479E-2</v>
      </c>
      <c r="S53" s="39">
        <v>0.18723359892304262</v>
      </c>
    </row>
    <row r="54" spans="2:19" ht="15.5" x14ac:dyDescent="0.35">
      <c r="B54" s="6" t="s">
        <v>2</v>
      </c>
      <c r="C54" s="20">
        <v>0.32603851869449318</v>
      </c>
      <c r="D54" s="23">
        <v>-6.0314093450685585E-2</v>
      </c>
      <c r="E54" s="66"/>
      <c r="F54" s="66"/>
      <c r="G54" s="66"/>
      <c r="H54" s="66"/>
      <c r="I54" s="66"/>
      <c r="L54" s="6" t="s">
        <v>2</v>
      </c>
      <c r="M54" s="20">
        <v>0.32603851869449318</v>
      </c>
      <c r="N54" s="23">
        <v>-0.1442538242453287</v>
      </c>
      <c r="O54" s="66"/>
      <c r="P54" s="66"/>
      <c r="Q54" s="66"/>
      <c r="R54" s="66"/>
      <c r="S54" s="66"/>
    </row>
    <row r="55" spans="2:19" ht="15.5" x14ac:dyDescent="0.35">
      <c r="B55" s="6" t="s">
        <v>3</v>
      </c>
      <c r="C55" s="20">
        <v>4.2391280458784326E-2</v>
      </c>
      <c r="D55" s="23">
        <v>0.2201968200084575</v>
      </c>
      <c r="E55" s="66"/>
      <c r="F55" s="66"/>
      <c r="G55" s="66"/>
      <c r="H55" s="66"/>
      <c r="I55" s="66"/>
      <c r="L55" s="6" t="s">
        <v>3</v>
      </c>
      <c r="M55" s="20">
        <v>4.2391280458784326E-2</v>
      </c>
      <c r="N55" s="23">
        <v>3.119663839451629E-2</v>
      </c>
      <c r="O55" s="66"/>
      <c r="P55" s="66"/>
      <c r="Q55" s="66"/>
      <c r="R55" s="66"/>
      <c r="S55" s="66"/>
    </row>
    <row r="56" spans="2:19" ht="15.5" x14ac:dyDescent="0.35">
      <c r="B56" s="6" t="s">
        <v>4</v>
      </c>
      <c r="C56" s="20">
        <v>0.27105391138211221</v>
      </c>
      <c r="D56" s="23">
        <v>-0.15046613854016935</v>
      </c>
      <c r="E56" s="66"/>
      <c r="F56" s="66"/>
      <c r="G56" s="66"/>
      <c r="H56" s="66"/>
      <c r="I56" s="66"/>
      <c r="L56" s="6" t="s">
        <v>4</v>
      </c>
      <c r="M56" s="20">
        <v>0.27105391138211221</v>
      </c>
      <c r="N56" s="23">
        <v>0.26253735708424775</v>
      </c>
      <c r="O56" s="66"/>
      <c r="P56" s="66"/>
      <c r="Q56" s="66"/>
      <c r="R56" s="66"/>
      <c r="S56" s="66"/>
    </row>
    <row r="57" spans="2:19" ht="15.5" x14ac:dyDescent="0.35">
      <c r="B57" s="6" t="s">
        <v>5</v>
      </c>
      <c r="C57" s="20">
        <v>0.13670020780747316</v>
      </c>
      <c r="D57" s="23">
        <v>-2.5345242147795235E-2</v>
      </c>
      <c r="E57" s="65"/>
      <c r="F57" s="65"/>
      <c r="G57" s="65"/>
      <c r="H57" s="66"/>
      <c r="I57" s="66"/>
      <c r="L57" s="6" t="s">
        <v>5</v>
      </c>
      <c r="M57" s="20">
        <v>0.13670020780747316</v>
      </c>
      <c r="N57" s="23">
        <v>-0.44861135545937186</v>
      </c>
      <c r="O57" s="65"/>
      <c r="P57" s="65"/>
      <c r="Q57" s="65"/>
      <c r="R57" s="66"/>
      <c r="S57" s="66"/>
    </row>
    <row r="58" spans="2:19" ht="15.5" x14ac:dyDescent="0.35">
      <c r="B58" s="6" t="s">
        <v>6</v>
      </c>
      <c r="C58" s="20">
        <v>0.11676615658866349</v>
      </c>
      <c r="D58" s="23">
        <v>0.13621518871475419</v>
      </c>
      <c r="E58" s="65"/>
      <c r="F58" s="65"/>
      <c r="G58" s="65"/>
      <c r="H58" s="66"/>
      <c r="I58" s="66"/>
      <c r="L58" s="6" t="s">
        <v>6</v>
      </c>
      <c r="M58" s="20">
        <v>0.11676615658866349</v>
      </c>
      <c r="N58" s="23">
        <v>-2.5847160612900936E-2</v>
      </c>
      <c r="O58" s="65"/>
      <c r="P58" s="65"/>
      <c r="Q58" s="65"/>
      <c r="R58" s="66"/>
      <c r="S58" s="66"/>
    </row>
    <row r="59" spans="2:19" ht="15.5" x14ac:dyDescent="0.35">
      <c r="B59" s="6" t="s">
        <v>7</v>
      </c>
      <c r="C59" s="20">
        <v>0.19109489942337862</v>
      </c>
      <c r="D59" s="23">
        <v>0.16139494658859016</v>
      </c>
      <c r="E59" s="65"/>
      <c r="F59" s="65"/>
      <c r="G59" s="65"/>
      <c r="H59" s="66"/>
      <c r="I59" s="66"/>
      <c r="L59" s="6" t="s">
        <v>7</v>
      </c>
      <c r="M59" s="20">
        <v>0.19109489942337862</v>
      </c>
      <c r="N59" s="23">
        <v>0.27414064669398419</v>
      </c>
      <c r="O59" s="65"/>
      <c r="P59" s="65"/>
      <c r="Q59" s="65"/>
      <c r="R59" s="66"/>
      <c r="S59" s="66"/>
    </row>
    <row r="60" spans="2:19" ht="15.5" x14ac:dyDescent="0.35">
      <c r="B60" s="6" t="s">
        <v>8</v>
      </c>
      <c r="C60" s="20">
        <v>-3.7197964699965641E-2</v>
      </c>
      <c r="D60" s="23">
        <v>1.848675941312759E-2</v>
      </c>
      <c r="E60" s="65"/>
      <c r="F60" s="65"/>
      <c r="G60" s="65"/>
      <c r="H60" s="66"/>
      <c r="I60" s="66"/>
      <c r="L60" s="6" t="s">
        <v>8</v>
      </c>
      <c r="M60" s="20">
        <v>-3.7197964699965641E-2</v>
      </c>
      <c r="N60" s="23">
        <v>-0.23961869851883627</v>
      </c>
      <c r="O60" s="65"/>
      <c r="P60" s="65"/>
      <c r="Q60" s="65"/>
      <c r="R60" s="66"/>
      <c r="S60" s="66"/>
    </row>
    <row r="61" spans="2:19" ht="15.5" x14ac:dyDescent="0.35">
      <c r="B61" s="6" t="s">
        <v>9</v>
      </c>
      <c r="C61" s="20">
        <v>0.15975950333029129</v>
      </c>
      <c r="D61" s="23">
        <v>0.13701217529669768</v>
      </c>
      <c r="E61" s="65"/>
      <c r="F61" s="65"/>
      <c r="G61" s="65"/>
      <c r="H61" s="66"/>
      <c r="I61" s="66"/>
      <c r="L61" s="6" t="s">
        <v>9</v>
      </c>
      <c r="M61" s="20">
        <v>0.15975950333029129</v>
      </c>
      <c r="N61" s="23">
        <v>-8.9661842810297376E-2</v>
      </c>
      <c r="O61" s="65"/>
      <c r="P61" s="65"/>
      <c r="Q61" s="65"/>
      <c r="R61" s="66"/>
      <c r="S61" s="66"/>
    </row>
    <row r="62" spans="2:19" ht="15.5" x14ac:dyDescent="0.35">
      <c r="B62" s="6" t="s">
        <v>10</v>
      </c>
      <c r="C62" s="20">
        <v>0.1096751689273163</v>
      </c>
      <c r="D62" s="23">
        <v>0.21863725362793596</v>
      </c>
      <c r="E62" s="65"/>
      <c r="F62" s="65"/>
      <c r="G62" s="65"/>
      <c r="H62" s="66"/>
      <c r="I62" s="66"/>
      <c r="L62" s="6" t="s">
        <v>10</v>
      </c>
      <c r="M62" s="20">
        <v>0.1096751689273163</v>
      </c>
      <c r="N62" s="23">
        <v>0.44979182578377658</v>
      </c>
      <c r="O62" s="65"/>
      <c r="P62" s="65"/>
      <c r="Q62" s="65"/>
      <c r="R62" s="66"/>
      <c r="S62" s="66"/>
    </row>
    <row r="63" spans="2:19" ht="15.5" x14ac:dyDescent="0.35">
      <c r="B63" s="6" t="s">
        <v>11</v>
      </c>
      <c r="C63" s="20">
        <v>0.3668735385715004</v>
      </c>
      <c r="D63" s="23">
        <v>-0.10777768197050001</v>
      </c>
      <c r="E63" s="65"/>
      <c r="F63" s="65"/>
      <c r="G63" s="65"/>
      <c r="H63" s="66"/>
      <c r="I63" s="66"/>
      <c r="L63" s="6" t="s">
        <v>11</v>
      </c>
      <c r="M63" s="20">
        <v>0.3668735385715004</v>
      </c>
      <c r="N63" s="23">
        <v>0.46123019329775455</v>
      </c>
      <c r="O63" s="65"/>
      <c r="P63" s="65"/>
      <c r="Q63" s="65"/>
      <c r="R63" s="66"/>
      <c r="S63" s="66"/>
    </row>
    <row r="64" spans="2:19" ht="16" thickBot="1" x14ac:dyDescent="0.4">
      <c r="B64" s="6" t="s">
        <v>12</v>
      </c>
      <c r="C64" s="21">
        <v>0.20708722422129289</v>
      </c>
      <c r="D64" s="24">
        <v>0.1258184219115715</v>
      </c>
      <c r="E64" s="65"/>
      <c r="F64" s="65"/>
      <c r="G64" s="65"/>
      <c r="H64" s="66"/>
      <c r="I64" s="66"/>
      <c r="L64" s="6" t="s">
        <v>12</v>
      </c>
      <c r="M64" s="21">
        <v>0.20708722422129289</v>
      </c>
      <c r="N64" s="24">
        <v>0.28183221270000225</v>
      </c>
      <c r="O64" s="65"/>
      <c r="P64" s="65"/>
      <c r="Q64" s="65"/>
      <c r="R64" s="66"/>
      <c r="S64" s="66"/>
    </row>
    <row r="65" spans="2:19" x14ac:dyDescent="0.35">
      <c r="L65" s="65"/>
      <c r="M65" s="65"/>
      <c r="N65" s="65"/>
      <c r="O65" s="65"/>
      <c r="P65" s="65"/>
      <c r="Q65" s="65"/>
      <c r="R65" s="65"/>
      <c r="S65" s="65"/>
    </row>
    <row r="66" spans="2:19" x14ac:dyDescent="0.35">
      <c r="L66" s="65"/>
      <c r="M66" s="65"/>
      <c r="N66" s="65"/>
      <c r="O66" s="65"/>
      <c r="P66" s="65"/>
      <c r="Q66" s="65"/>
      <c r="R66" s="65"/>
      <c r="S66" s="65"/>
    </row>
    <row r="67" spans="2:19" ht="44" thickBot="1" x14ac:dyDescent="0.4">
      <c r="B67" s="65"/>
      <c r="C67" s="46" t="s">
        <v>60</v>
      </c>
      <c r="D67" s="34" t="s">
        <v>79</v>
      </c>
      <c r="E67" s="35" t="s">
        <v>32</v>
      </c>
      <c r="F67" s="35" t="s">
        <v>42</v>
      </c>
      <c r="G67" s="35" t="s">
        <v>34</v>
      </c>
      <c r="H67" s="35" t="s">
        <v>33</v>
      </c>
      <c r="I67" s="35" t="s">
        <v>35</v>
      </c>
      <c r="L67" s="65"/>
      <c r="M67" s="46" t="s">
        <v>60</v>
      </c>
      <c r="N67" s="34" t="s">
        <v>79</v>
      </c>
      <c r="O67" s="35" t="s">
        <v>32</v>
      </c>
      <c r="P67" s="35" t="s">
        <v>42</v>
      </c>
      <c r="Q67" s="35" t="s">
        <v>34</v>
      </c>
      <c r="R67" s="35" t="s">
        <v>33</v>
      </c>
      <c r="S67" s="35" t="s">
        <v>35</v>
      </c>
    </row>
    <row r="68" spans="2:19" ht="16" thickBot="1" x14ac:dyDescent="0.4">
      <c r="B68" s="6" t="s">
        <v>1</v>
      </c>
      <c r="C68" s="20">
        <v>8.0141008757000587E-2</v>
      </c>
      <c r="D68" s="23">
        <v>0.29842881773071861</v>
      </c>
      <c r="E68" s="25">
        <v>1</v>
      </c>
      <c r="F68" s="50">
        <v>0.1</v>
      </c>
      <c r="G68" s="39">
        <v>0.10000000025914185</v>
      </c>
      <c r="H68" s="39">
        <v>1.6597523841351831E-2</v>
      </c>
      <c r="I68" s="39">
        <v>0.12883137754969412</v>
      </c>
      <c r="L68" s="6" t="s">
        <v>1</v>
      </c>
      <c r="M68" s="20">
        <v>8.0141008757000587E-2</v>
      </c>
      <c r="N68" s="23">
        <v>0.13168686872694804</v>
      </c>
      <c r="O68" s="25">
        <v>1.0000000000000004</v>
      </c>
      <c r="P68" s="50">
        <v>0.4</v>
      </c>
      <c r="Q68" s="39">
        <v>0.40000000079860393</v>
      </c>
      <c r="R68" s="39">
        <v>5.3320878094093346E-2</v>
      </c>
      <c r="S68" s="39">
        <v>0.23091313971728275</v>
      </c>
    </row>
    <row r="69" spans="2:19" ht="15.5" x14ac:dyDescent="0.35">
      <c r="B69" s="6" t="s">
        <v>2</v>
      </c>
      <c r="C69" s="20">
        <v>0.32603851869449318</v>
      </c>
      <c r="D69" s="23">
        <v>-7.6754224512794331E-2</v>
      </c>
      <c r="E69" s="66"/>
      <c r="F69" s="66"/>
      <c r="G69" s="66"/>
      <c r="H69" s="66"/>
      <c r="I69" s="66"/>
      <c r="L69" s="6" t="s">
        <v>2</v>
      </c>
      <c r="M69" s="20">
        <v>0.32603851869449318</v>
      </c>
      <c r="N69" s="23">
        <v>-0.17800894564361136</v>
      </c>
      <c r="O69" s="66"/>
      <c r="P69" s="66"/>
      <c r="Q69" s="66"/>
      <c r="R69" s="66"/>
      <c r="S69" s="66"/>
    </row>
    <row r="70" spans="2:19" ht="15.5" x14ac:dyDescent="0.35">
      <c r="B70" s="6" t="s">
        <v>3</v>
      </c>
      <c r="C70" s="20">
        <v>4.2391280458784326E-2</v>
      </c>
      <c r="D70" s="23">
        <v>0.18269359435683791</v>
      </c>
      <c r="E70" s="66"/>
      <c r="F70" s="66"/>
      <c r="G70" s="66"/>
      <c r="H70" s="66"/>
      <c r="I70" s="66"/>
      <c r="L70" s="6" t="s">
        <v>3</v>
      </c>
      <c r="M70" s="20">
        <v>4.2391280458784326E-2</v>
      </c>
      <c r="N70" s="23">
        <v>-4.4568143755382275E-2</v>
      </c>
      <c r="O70" s="66"/>
      <c r="P70" s="66"/>
      <c r="Q70" s="66"/>
      <c r="R70" s="66"/>
      <c r="S70" s="66"/>
    </row>
    <row r="71" spans="2:19" ht="15.5" x14ac:dyDescent="0.35">
      <c r="B71" s="6" t="s">
        <v>4</v>
      </c>
      <c r="C71" s="20">
        <v>0.27105391138211221</v>
      </c>
      <c r="D71" s="23">
        <v>-6.7879118312737047E-2</v>
      </c>
      <c r="E71" s="66"/>
      <c r="F71" s="66"/>
      <c r="G71" s="66"/>
      <c r="H71" s="66"/>
      <c r="I71" s="66"/>
      <c r="L71" s="6" t="s">
        <v>4</v>
      </c>
      <c r="M71" s="20">
        <v>0.27105391138211221</v>
      </c>
      <c r="N71" s="23">
        <v>0.42779074373172993</v>
      </c>
      <c r="O71" s="66"/>
      <c r="P71" s="66"/>
      <c r="Q71" s="66"/>
      <c r="R71" s="66"/>
      <c r="S71" s="66"/>
    </row>
    <row r="72" spans="2:19" ht="15.5" x14ac:dyDescent="0.35">
      <c r="B72" s="6" t="s">
        <v>5</v>
      </c>
      <c r="C72" s="20">
        <v>0.13670020780747316</v>
      </c>
      <c r="D72" s="23">
        <v>-0.11079942138072044</v>
      </c>
      <c r="E72" s="65"/>
      <c r="F72" s="65"/>
      <c r="G72" s="65"/>
      <c r="H72" s="66"/>
      <c r="I72" s="66"/>
      <c r="L72" s="6" t="s">
        <v>5</v>
      </c>
      <c r="M72" s="20">
        <v>0.13670020780747316</v>
      </c>
      <c r="N72" s="23">
        <v>-0.61753771070897978</v>
      </c>
      <c r="O72" s="65"/>
      <c r="P72" s="65"/>
      <c r="Q72" s="65"/>
      <c r="R72" s="66"/>
      <c r="S72" s="66"/>
    </row>
    <row r="73" spans="2:19" ht="15.5" x14ac:dyDescent="0.35">
      <c r="B73" s="6" t="s">
        <v>6</v>
      </c>
      <c r="C73" s="20">
        <v>0.11676615658866349</v>
      </c>
      <c r="D73" s="23">
        <v>0.10412019974165586</v>
      </c>
      <c r="E73" s="65"/>
      <c r="F73" s="65"/>
      <c r="G73" s="65"/>
      <c r="H73" s="66"/>
      <c r="I73" s="66"/>
      <c r="L73" s="6" t="s">
        <v>6</v>
      </c>
      <c r="M73" s="20">
        <v>0.11676615658866349</v>
      </c>
      <c r="N73" s="23">
        <v>-9.0808042430087541E-2</v>
      </c>
      <c r="O73" s="65"/>
      <c r="P73" s="65"/>
      <c r="Q73" s="65"/>
      <c r="R73" s="66"/>
      <c r="S73" s="66"/>
    </row>
    <row r="74" spans="2:19" ht="15.5" x14ac:dyDescent="0.35">
      <c r="B74" s="6" t="s">
        <v>7</v>
      </c>
      <c r="C74" s="20">
        <v>0.19109489942337862</v>
      </c>
      <c r="D74" s="23">
        <v>0.18405542985563814</v>
      </c>
      <c r="E74" s="65"/>
      <c r="F74" s="65"/>
      <c r="G74" s="65"/>
      <c r="H74" s="66"/>
      <c r="I74" s="66"/>
      <c r="L74" s="6" t="s">
        <v>7</v>
      </c>
      <c r="M74" s="20">
        <v>0.19109489942337862</v>
      </c>
      <c r="N74" s="23">
        <v>0.31919926548333283</v>
      </c>
      <c r="O74" s="65"/>
      <c r="P74" s="65"/>
      <c r="Q74" s="65"/>
      <c r="R74" s="66"/>
      <c r="S74" s="66"/>
    </row>
    <row r="75" spans="2:19" ht="15.5" x14ac:dyDescent="0.35">
      <c r="B75" s="6" t="s">
        <v>8</v>
      </c>
      <c r="C75" s="20">
        <v>-3.7197964699965641E-2</v>
      </c>
      <c r="D75" s="23">
        <v>-3.3080770382675359E-2</v>
      </c>
      <c r="E75" s="65"/>
      <c r="F75" s="65"/>
      <c r="G75" s="65"/>
      <c r="H75" s="66"/>
      <c r="I75" s="66"/>
      <c r="L75" s="6" t="s">
        <v>8</v>
      </c>
      <c r="M75" s="20">
        <v>-3.7197964699965641E-2</v>
      </c>
      <c r="N75" s="23">
        <v>-0.34287777931352181</v>
      </c>
      <c r="O75" s="65"/>
      <c r="P75" s="65"/>
      <c r="Q75" s="65"/>
      <c r="R75" s="66"/>
      <c r="S75" s="66"/>
    </row>
    <row r="76" spans="2:19" ht="15.5" x14ac:dyDescent="0.35">
      <c r="B76" s="6" t="s">
        <v>9</v>
      </c>
      <c r="C76" s="20">
        <v>0.15975950333029129</v>
      </c>
      <c r="D76" s="23">
        <v>9.2023322531664592E-2</v>
      </c>
      <c r="E76" s="65"/>
      <c r="F76" s="65"/>
      <c r="G76" s="65"/>
      <c r="H76" s="66"/>
      <c r="I76" s="66"/>
      <c r="L76" s="6" t="s">
        <v>9</v>
      </c>
      <c r="M76" s="20">
        <v>0.15975950333029129</v>
      </c>
      <c r="N76" s="23">
        <v>-0.18054202822932253</v>
      </c>
      <c r="O76" s="65"/>
      <c r="P76" s="65"/>
      <c r="Q76" s="65"/>
      <c r="R76" s="66"/>
      <c r="S76" s="66"/>
    </row>
    <row r="77" spans="2:19" ht="15.5" x14ac:dyDescent="0.35">
      <c r="B77" s="6" t="s">
        <v>10</v>
      </c>
      <c r="C77" s="20">
        <v>0.1096751689273163</v>
      </c>
      <c r="D77" s="23">
        <v>0.26444268661071829</v>
      </c>
      <c r="E77" s="65"/>
      <c r="F77" s="65"/>
      <c r="G77" s="65"/>
      <c r="H77" s="66"/>
      <c r="I77" s="66"/>
      <c r="L77" s="6" t="s">
        <v>10</v>
      </c>
      <c r="M77" s="20">
        <v>0.1096751689273163</v>
      </c>
      <c r="N77" s="23">
        <v>0.54245939894351614</v>
      </c>
      <c r="O77" s="65"/>
      <c r="P77" s="65"/>
      <c r="Q77" s="65"/>
      <c r="R77" s="66"/>
      <c r="S77" s="66"/>
    </row>
    <row r="78" spans="2:19" ht="15.5" x14ac:dyDescent="0.35">
      <c r="B78" s="6" t="s">
        <v>11</v>
      </c>
      <c r="C78" s="20">
        <v>0.3668735385715004</v>
      </c>
      <c r="D78" s="23">
        <v>5.8890793391011692E-3</v>
      </c>
      <c r="E78" s="65"/>
      <c r="F78" s="65"/>
      <c r="G78" s="65"/>
      <c r="H78" s="66"/>
      <c r="I78" s="66"/>
      <c r="L78" s="6" t="s">
        <v>11</v>
      </c>
      <c r="M78" s="20">
        <v>0.3668735385715004</v>
      </c>
      <c r="N78" s="23">
        <v>0.68887922679910385</v>
      </c>
      <c r="O78" s="65"/>
      <c r="P78" s="65"/>
      <c r="Q78" s="65"/>
      <c r="R78" s="66"/>
      <c r="S78" s="66"/>
    </row>
    <row r="79" spans="2:19" ht="16" thickBot="1" x14ac:dyDescent="0.4">
      <c r="B79" s="6" t="s">
        <v>12</v>
      </c>
      <c r="C79" s="21">
        <v>0.20708722422129289</v>
      </c>
      <c r="D79" s="24">
        <v>0.15686040442259258</v>
      </c>
      <c r="E79" s="65"/>
      <c r="F79" s="65"/>
      <c r="G79" s="65"/>
      <c r="H79" s="66"/>
      <c r="I79" s="66"/>
      <c r="L79" s="6" t="s">
        <v>12</v>
      </c>
      <c r="M79" s="21">
        <v>0.20708722422129289</v>
      </c>
      <c r="N79" s="24">
        <v>0.34432714639627504</v>
      </c>
      <c r="O79" s="65"/>
      <c r="P79" s="65"/>
      <c r="Q79" s="65"/>
      <c r="R79" s="66"/>
      <c r="S79" s="66"/>
    </row>
    <row r="82" spans="2:9" ht="44" thickBot="1" x14ac:dyDescent="0.4">
      <c r="B82" s="65"/>
      <c r="C82" s="46" t="s">
        <v>60</v>
      </c>
      <c r="D82" s="34" t="s">
        <v>79</v>
      </c>
      <c r="E82" s="35" t="s">
        <v>32</v>
      </c>
      <c r="F82" s="35" t="s">
        <v>42</v>
      </c>
      <c r="G82" s="35" t="s">
        <v>34</v>
      </c>
      <c r="H82" s="35" t="s">
        <v>33</v>
      </c>
      <c r="I82" s="35" t="s">
        <v>35</v>
      </c>
    </row>
    <row r="83" spans="2:9" ht="16" thickBot="1" x14ac:dyDescent="0.4">
      <c r="B83" s="6" t="s">
        <v>1</v>
      </c>
      <c r="C83" s="20">
        <v>8.0141008757000587E-2</v>
      </c>
      <c r="D83" s="23">
        <v>0.2428330562292573</v>
      </c>
      <c r="E83" s="25">
        <v>1</v>
      </c>
      <c r="F83" s="50">
        <v>0.2</v>
      </c>
      <c r="G83" s="39">
        <v>0.20000000108867597</v>
      </c>
      <c r="H83" s="39">
        <v>2.2815302168642977E-2</v>
      </c>
      <c r="I83" s="39">
        <v>0.15104735075016371</v>
      </c>
    </row>
    <row r="84" spans="2:9" ht="15.5" x14ac:dyDescent="0.35">
      <c r="B84" s="6" t="s">
        <v>2</v>
      </c>
      <c r="C84" s="20">
        <v>0.32603851869449318</v>
      </c>
      <c r="D84" s="23">
        <v>-0.11052222506313571</v>
      </c>
      <c r="E84" s="66"/>
      <c r="F84" s="66"/>
      <c r="G84" s="66"/>
      <c r="H84" s="66"/>
      <c r="I84" s="66"/>
    </row>
    <row r="85" spans="2:9" ht="15.5" x14ac:dyDescent="0.35">
      <c r="B85" s="6" t="s">
        <v>3</v>
      </c>
      <c r="C85" s="20">
        <v>4.2391280458784326E-2</v>
      </c>
      <c r="D85" s="23">
        <v>0.10697384028766364</v>
      </c>
      <c r="E85" s="66"/>
      <c r="F85" s="66"/>
      <c r="G85" s="66"/>
      <c r="H85" s="66"/>
      <c r="I85" s="66"/>
    </row>
    <row r="86" spans="2:9" ht="15.5" x14ac:dyDescent="0.35">
      <c r="B86" s="6" t="s">
        <v>4</v>
      </c>
      <c r="C86" s="20">
        <v>0.27105391138211221</v>
      </c>
      <c r="D86" s="23">
        <v>9.7298848123295686E-2</v>
      </c>
      <c r="E86" s="66"/>
      <c r="F86" s="66"/>
      <c r="G86" s="66"/>
      <c r="H86" s="66"/>
      <c r="I86" s="66"/>
    </row>
    <row r="87" spans="2:9" ht="15.5" x14ac:dyDescent="0.35">
      <c r="B87" s="6" t="s">
        <v>5</v>
      </c>
      <c r="C87" s="20">
        <v>0.13670020780747316</v>
      </c>
      <c r="D87" s="23">
        <v>-0.27968615615131304</v>
      </c>
      <c r="E87" s="65"/>
      <c r="F87" s="65"/>
      <c r="G87" s="65"/>
      <c r="H87" s="66"/>
      <c r="I87" s="66"/>
    </row>
    <row r="88" spans="2:9" ht="15.5" x14ac:dyDescent="0.35">
      <c r="B88" s="6" t="s">
        <v>6</v>
      </c>
      <c r="C88" s="20">
        <v>0.11676615658866349</v>
      </c>
      <c r="D88" s="23">
        <v>3.9087019734150873E-2</v>
      </c>
      <c r="E88" s="65"/>
      <c r="F88" s="65"/>
      <c r="G88" s="65"/>
      <c r="H88" s="66"/>
      <c r="I88" s="66"/>
    </row>
    <row r="89" spans="2:9" ht="15.5" x14ac:dyDescent="0.35">
      <c r="B89" s="6" t="s">
        <v>7</v>
      </c>
      <c r="C89" s="20">
        <v>0.19109489942337862</v>
      </c>
      <c r="D89" s="23">
        <v>0.22907061515806712</v>
      </c>
      <c r="E89" s="65"/>
      <c r="F89" s="65"/>
      <c r="G89" s="65"/>
      <c r="H89" s="66"/>
      <c r="I89" s="66"/>
    </row>
    <row r="90" spans="2:9" ht="15.5" x14ac:dyDescent="0.35">
      <c r="B90" s="6" t="s">
        <v>8</v>
      </c>
      <c r="C90" s="20">
        <v>-3.7197964699965641E-2</v>
      </c>
      <c r="D90" s="23">
        <v>-0.13637883745354715</v>
      </c>
      <c r="E90" s="65"/>
      <c r="F90" s="65"/>
      <c r="G90" s="65"/>
      <c r="H90" s="66"/>
      <c r="I90" s="66"/>
    </row>
    <row r="91" spans="2:9" ht="15.5" x14ac:dyDescent="0.35">
      <c r="B91" s="6" t="s">
        <v>9</v>
      </c>
      <c r="C91" s="20">
        <v>0.15975950333029129</v>
      </c>
      <c r="D91" s="23">
        <v>1.2103900187326708E-3</v>
      </c>
      <c r="E91" s="65"/>
      <c r="F91" s="65"/>
      <c r="G91" s="65"/>
      <c r="H91" s="66"/>
      <c r="I91" s="66"/>
    </row>
    <row r="92" spans="2:9" ht="15.5" x14ac:dyDescent="0.35">
      <c r="B92" s="6" t="s">
        <v>10</v>
      </c>
      <c r="C92" s="20">
        <v>0.1096751689273163</v>
      </c>
      <c r="D92" s="23">
        <v>0.35716517018161709</v>
      </c>
      <c r="E92" s="65"/>
      <c r="F92" s="65"/>
      <c r="G92" s="65"/>
      <c r="H92" s="66"/>
      <c r="I92" s="66"/>
    </row>
    <row r="93" spans="2:9" ht="15.5" x14ac:dyDescent="0.35">
      <c r="B93" s="6" t="s">
        <v>11</v>
      </c>
      <c r="C93" s="20">
        <v>0.3668735385715004</v>
      </c>
      <c r="D93" s="23">
        <v>0.23357554772794381</v>
      </c>
      <c r="E93" s="65"/>
      <c r="F93" s="65"/>
      <c r="G93" s="65"/>
      <c r="H93" s="66"/>
      <c r="I93" s="66"/>
    </row>
    <row r="94" spans="2:9" ht="16" thickBot="1" x14ac:dyDescent="0.4">
      <c r="B94" s="6" t="s">
        <v>12</v>
      </c>
      <c r="C94" s="21">
        <v>0.20708722422129289</v>
      </c>
      <c r="D94" s="24">
        <v>0.21937273120726769</v>
      </c>
      <c r="E94" s="65"/>
      <c r="F94" s="65"/>
      <c r="G94" s="65"/>
      <c r="H94" s="66"/>
      <c r="I94" s="66"/>
    </row>
  </sheetData>
  <mergeCells count="1">
    <mergeCell ref="A5:D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0B62E-127D-4E92-B3C5-043005DDEDF8}">
  <sheetPr codeName="Feuil7"/>
  <dimension ref="A2:BR107"/>
  <sheetViews>
    <sheetView tabSelected="1" zoomScale="31" zoomScaleNormal="40" workbookViewId="0">
      <selection activeCell="BQ21" sqref="BQ21"/>
    </sheetView>
  </sheetViews>
  <sheetFormatPr baseColWidth="10" defaultColWidth="10.7265625" defaultRowHeight="14.5" x14ac:dyDescent="0.35"/>
  <cols>
    <col min="1" max="1" width="10.90625" customWidth="1"/>
    <col min="2" max="2" width="14.81640625" customWidth="1"/>
    <col min="3" max="5" width="10.81640625" bestFit="1" customWidth="1"/>
    <col min="6" max="6" width="10.26953125" customWidth="1"/>
    <col min="7" max="7" width="10.81640625" bestFit="1" customWidth="1"/>
    <col min="8" max="9" width="12.26953125" customWidth="1"/>
    <col min="11" max="12" width="12.36328125" customWidth="1"/>
    <col min="13" max="13" width="10.81640625" bestFit="1" customWidth="1"/>
    <col min="14" max="14" width="13.7265625" customWidth="1"/>
    <col min="15" max="17" width="10.81640625" bestFit="1" customWidth="1"/>
    <col min="18" max="18" width="18.26953125" customWidth="1"/>
    <col min="19" max="19" width="10.81640625" bestFit="1" customWidth="1"/>
    <col min="20" max="20" width="12.453125" bestFit="1" customWidth="1"/>
    <col min="21" max="23" width="10.81640625" bestFit="1" customWidth="1"/>
    <col min="24" max="25" width="11.81640625" bestFit="1" customWidth="1"/>
    <col min="28" max="34" width="10.81640625" bestFit="1" customWidth="1"/>
  </cols>
  <sheetData>
    <row r="2" spans="1:23" x14ac:dyDescent="0.35">
      <c r="A2" s="18" t="s">
        <v>44</v>
      </c>
    </row>
    <row r="3" spans="1:23" x14ac:dyDescent="0.35">
      <c r="A3" s="33" t="s">
        <v>72</v>
      </c>
    </row>
    <row r="5" spans="1:23" x14ac:dyDescent="0.35">
      <c r="A5" s="6" t="s">
        <v>48</v>
      </c>
      <c r="B5" s="38">
        <v>5.0000000000000001E-3</v>
      </c>
    </row>
    <row r="7" spans="1:23" ht="44" thickBot="1" x14ac:dyDescent="0.4">
      <c r="B7" s="46" t="s">
        <v>60</v>
      </c>
      <c r="C7" s="34" t="s">
        <v>36</v>
      </c>
      <c r="D7" s="35" t="s">
        <v>32</v>
      </c>
      <c r="E7" s="35" t="s">
        <v>42</v>
      </c>
      <c r="F7" s="35" t="s">
        <v>34</v>
      </c>
      <c r="G7" s="35" t="s">
        <v>33</v>
      </c>
      <c r="H7" s="35" t="s">
        <v>35</v>
      </c>
      <c r="J7" s="83" t="s">
        <v>25</v>
      </c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5"/>
    </row>
    <row r="8" spans="1:23" ht="16" thickBot="1" x14ac:dyDescent="0.4">
      <c r="A8" s="6" t="s">
        <v>1</v>
      </c>
      <c r="B8" s="20">
        <f>AVERAGE(r_BN.PA)*12</f>
        <v>8.0141008757000587E-2</v>
      </c>
      <c r="C8" s="23">
        <v>-0.11221064137815857</v>
      </c>
      <c r="D8" s="25">
        <f>SUM(C8:C20)</f>
        <v>1</v>
      </c>
      <c r="E8" s="50">
        <f>40%</f>
        <v>0.4</v>
      </c>
      <c r="F8" s="50" cm="1">
        <f t="array" ref="F8">MMULT(TRANSPOSE(C8:C20),B8:B20)</f>
        <v>0.40000000088044468</v>
      </c>
      <c r="G8" s="50" cm="1">
        <f t="array" ref="G8">MMULT(MMULT(TRANSPOSE(C8:C20),cov_rf),C8:C20)*12</f>
        <v>4.5471840780628284E-2</v>
      </c>
      <c r="H8" s="39">
        <f>SQRT(G8)</f>
        <v>0.2132412736330101</v>
      </c>
      <c r="J8" s="65"/>
      <c r="K8" s="8" t="s">
        <v>1</v>
      </c>
      <c r="L8" s="8" t="s">
        <v>2</v>
      </c>
      <c r="M8" s="8" t="s">
        <v>3</v>
      </c>
      <c r="N8" s="8" t="s">
        <v>4</v>
      </c>
      <c r="O8" s="8" t="s">
        <v>5</v>
      </c>
      <c r="P8" s="8" t="s">
        <v>6</v>
      </c>
      <c r="Q8" s="8" t="s">
        <v>7</v>
      </c>
      <c r="R8" s="8" t="s">
        <v>8</v>
      </c>
      <c r="S8" s="8" t="s">
        <v>9</v>
      </c>
      <c r="T8" s="8" t="s">
        <v>10</v>
      </c>
      <c r="U8" s="8" t="s">
        <v>11</v>
      </c>
      <c r="V8" s="8" t="s">
        <v>12</v>
      </c>
      <c r="W8" s="56" t="s">
        <v>53</v>
      </c>
    </row>
    <row r="9" spans="1:23" ht="15.5" x14ac:dyDescent="0.35">
      <c r="A9" s="6" t="s">
        <v>2</v>
      </c>
      <c r="B9" s="20">
        <f>AVERAGE(r_BNP.PA)*12</f>
        <v>0.32603851869449318</v>
      </c>
      <c r="C9" s="23">
        <v>-0.14691669010536168</v>
      </c>
      <c r="D9" s="16"/>
      <c r="E9" s="16"/>
      <c r="F9" s="16"/>
      <c r="G9" s="16"/>
      <c r="H9" s="16"/>
      <c r="J9" s="6" t="s">
        <v>1</v>
      </c>
      <c r="K9" s="9">
        <f>_xlfn.COVARIANCE.S(r_BN.PA,r_BN.PA)</f>
        <v>2.6540785095646338E-3</v>
      </c>
      <c r="L9" s="7">
        <f>_xlfn.COVARIANCE.S(r_BN.PA,r_BNP.PA)</f>
        <v>1.4856689187240954E-3</v>
      </c>
      <c r="M9" s="7">
        <f>_xlfn.COVARIANCE.S(r_BN.PA,r_CA.PA)</f>
        <v>9.6242195064712686E-4</v>
      </c>
      <c r="N9" s="7">
        <f t="array" ref="N9">_xlfn.COVARIANCE.S(r_BN.PA,r_CS.PA)</f>
        <v>1.9974831793602619E-3</v>
      </c>
      <c r="O9" s="7">
        <f t="array" ref="O9">_xlfn.COVARIANCE.S(r_BN.PA,r_DG.PA)</f>
        <v>1.5816657056069814E-3</v>
      </c>
      <c r="P9" s="7">
        <f t="array" ref="P9">_xlfn.COVARIANCE.S(r_BN.PA,r_EN.PA)</f>
        <v>1.4603699017369702E-3</v>
      </c>
      <c r="Q9" s="7">
        <f t="array" ref="Q9">_xlfn.COVARIANCE.S(r_BN.PA,r_ENGI.PA)</f>
        <v>7.8248589557419139E-4</v>
      </c>
      <c r="R9" s="7">
        <f t="array" ref="R9">_xlfn.COVARIANCE.S(r_BN.PA,r_KER.PA)</f>
        <v>6.7824696874770995E-4</v>
      </c>
      <c r="S9" s="7">
        <f t="array" ref="S9">_xlfn.COVARIANCE.S(r_BN.PA,r_ML.PA)</f>
        <v>9.8826450180782596E-4</v>
      </c>
      <c r="T9" s="7">
        <f t="array" ref="T9">_xlfn.COVARIANCE.S(r_BN.PA,r_OR.PA)</f>
        <v>8.9934886182130693E-4</v>
      </c>
      <c r="U9" s="7">
        <f t="array" ref="U9">_xlfn.COVARIANCE.S(r_BN.PA,r_SGO.PA)</f>
        <v>1.5240945955596085E-3</v>
      </c>
      <c r="V9" s="7">
        <f t="array" ref="V9">_xlfn.COVARIANCE.S(r_BN.PA,r_TTE.PA)</f>
        <v>1.2891974556949368E-3</v>
      </c>
      <c r="W9" s="7">
        <v>0</v>
      </c>
    </row>
    <row r="10" spans="1:23" ht="15.5" x14ac:dyDescent="0.35">
      <c r="A10" s="6" t="s">
        <v>3</v>
      </c>
      <c r="B10" s="20">
        <f>AVERAGE(r_CA.PA)*12</f>
        <v>4.2391280458784326E-2</v>
      </c>
      <c r="C10" s="23">
        <v>-0.22148494913495764</v>
      </c>
      <c r="D10" s="16"/>
      <c r="E10" s="16"/>
      <c r="F10" s="16"/>
      <c r="G10" s="16"/>
      <c r="H10" s="16"/>
      <c r="J10" s="6" t="s">
        <v>2</v>
      </c>
      <c r="K10" s="9">
        <f>_xlfn.COVARIANCE.S(r_BN.PA,r_BNP.PA)</f>
        <v>1.4856689187240954E-3</v>
      </c>
      <c r="L10" s="9">
        <f>_xlfn.COVARIANCE.S(r_BNP.PA,r_BNP.PA)</f>
        <v>1.063279420940544E-2</v>
      </c>
      <c r="M10" s="7">
        <f>_xlfn.COVARIANCE.S(r_BNP.PA,r_CA.PA)</f>
        <v>1.7100041426047501E-3</v>
      </c>
      <c r="N10" s="7">
        <f>_xlfn.COVARIANCE.S(r_BNP.PA,r_CS.PA)</f>
        <v>6.8488177387476569E-3</v>
      </c>
      <c r="O10" s="7">
        <f>_xlfn.COVARIANCE.S(r_BNP.PA,r_DG.PA)</f>
        <v>4.8937075705145468E-3</v>
      </c>
      <c r="P10" s="7">
        <f>_xlfn.COVARIANCE.S(r_BNP.PA,r_EN.PA)</f>
        <v>3.912367091738379E-3</v>
      </c>
      <c r="Q10" s="7">
        <f>_xlfn.COVARIANCE.S(r_BNP.PA,r_ENGI.PA)</f>
        <v>2.4561620133825152E-3</v>
      </c>
      <c r="R10" s="7">
        <f>_xlfn.COVARIANCE.S(r_BNP.PA,r_KER.PA)</f>
        <v>2.5786093471474513E-3</v>
      </c>
      <c r="S10" s="7">
        <f>_xlfn.COVARIANCE.S(r_BNP.PA,r_ML.PA)</f>
        <v>3.4727992677922371E-3</v>
      </c>
      <c r="T10" s="7">
        <f>_xlfn.COVARIANCE.S(r_BNP.PA,r_OR.PA)</f>
        <v>2.5874633990755356E-3</v>
      </c>
      <c r="U10" s="7">
        <f>_xlfn.COVARIANCE.S(r_BNP.PA,r_SGO.PA)</f>
        <v>4.7229615350869465E-3</v>
      </c>
      <c r="V10" s="7">
        <f>_xlfn.COVARIANCE.S(r_BNP.PA,r_TTE.PA)</f>
        <v>6.0361892108364229E-3</v>
      </c>
      <c r="W10" s="7">
        <v>0</v>
      </c>
    </row>
    <row r="11" spans="1:23" ht="15.5" x14ac:dyDescent="0.35">
      <c r="A11" s="6" t="s">
        <v>4</v>
      </c>
      <c r="B11" s="20">
        <f>AVERAGE(r_CS.PA)*12</f>
        <v>0.27105391138211221</v>
      </c>
      <c r="C11" s="23">
        <v>0.58395333052455878</v>
      </c>
      <c r="D11" s="16"/>
      <c r="E11" s="16"/>
      <c r="F11" s="16"/>
      <c r="G11" s="16"/>
      <c r="H11" s="16"/>
      <c r="J11" s="6" t="s">
        <v>3</v>
      </c>
      <c r="K11" s="9">
        <f>_xlfn.COVARIANCE.S(r_BN.PA,r_CA.PA)</f>
        <v>9.6242195064712686E-4</v>
      </c>
      <c r="L11" s="9">
        <f>_xlfn.COVARIANCE.S(r_BNP.PA,r_CA.PA)</f>
        <v>1.7100041426047501E-3</v>
      </c>
      <c r="M11" s="9">
        <f>_xlfn.COVARIANCE.S(r_CA.PA,r_CA.PA)</f>
        <v>3.2817742963978836E-3</v>
      </c>
      <c r="N11" s="7">
        <f>_xlfn.COVARIANCE.S(r_CA.PA,r_CS.PA)</f>
        <v>1.74189736700312E-3</v>
      </c>
      <c r="O11" s="7">
        <f>_xlfn.COVARIANCE.S(r_CA.PA,r_DG.PA)</f>
        <v>1.8282819454405238E-3</v>
      </c>
      <c r="P11" s="7">
        <f>_xlfn.COVARIANCE.S(r_CA.PA,r_EN.PA)</f>
        <v>1.5114057817238924E-3</v>
      </c>
      <c r="Q11" s="7">
        <f>_xlfn.COVARIANCE.S(r_CA.PA,r_ENGI.PA)</f>
        <v>7.4409201397707581E-4</v>
      </c>
      <c r="R11" s="7">
        <f>_xlfn.COVARIANCE.S(r_CA.PA,r_KER.PA)</f>
        <v>1.1529168347962468E-3</v>
      </c>
      <c r="S11" s="7">
        <f>_xlfn.COVARIANCE.S(r_CA.PA,r_ML.PA)</f>
        <v>1.4086100481433643E-3</v>
      </c>
      <c r="T11" s="7">
        <f>_xlfn.COVARIANCE.S(r_CA.PA,r_OR.PA)</f>
        <v>9.8430171331587353E-4</v>
      </c>
      <c r="U11" s="7">
        <f>_xlfn.COVARIANCE.S(r_CA.PA,r_SGO.PA)</f>
        <v>2.2217546727433895E-3</v>
      </c>
      <c r="V11" s="7">
        <f>_xlfn.COVARIANCE.S(r_CA.PA,r_TTE.PA)</f>
        <v>1.3533643346042021E-3</v>
      </c>
      <c r="W11" s="7">
        <v>0</v>
      </c>
    </row>
    <row r="12" spans="1:23" ht="15.5" x14ac:dyDescent="0.35">
      <c r="A12" s="6" t="s">
        <v>5</v>
      </c>
      <c r="B12" s="20">
        <f>AVERAGE(r_DG.PA)*12</f>
        <v>0.13670020780747316</v>
      </c>
      <c r="C12" s="23">
        <v>-0.6520104110659275</v>
      </c>
      <c r="J12" s="6" t="s">
        <v>4</v>
      </c>
      <c r="K12" s="9">
        <f t="array" ref="K12">_xlfn.COVARIANCE.S(r_BN.PA,r_CS.PA)</f>
        <v>1.9974831793602619E-3</v>
      </c>
      <c r="L12" s="9">
        <f>_xlfn.COVARIANCE.S(r_BNP.PA,r_CS.PA)</f>
        <v>6.8488177387476569E-3</v>
      </c>
      <c r="M12" s="9">
        <f>_xlfn.COVARIANCE.S(r_CA.PA,r_CS.PA)</f>
        <v>1.74189736700312E-3</v>
      </c>
      <c r="N12" s="9">
        <f>_xlfn.COVARIANCE.S(r_CS.PA,r_CS.PA)</f>
        <v>6.9702688700275014E-3</v>
      </c>
      <c r="O12" s="7">
        <f>_xlfn.COVARIANCE.S(r_CS.PA,r_DG.PA)</f>
        <v>4.2539661870758258E-3</v>
      </c>
      <c r="P12" s="7">
        <f>_xlfn.COVARIANCE.S(r_CS.PA,r_EN.PA)</f>
        <v>3.7683670488866733E-3</v>
      </c>
      <c r="Q12" s="7">
        <f>_xlfn.COVARIANCE.S(r_CS.PA,r_ENGI.PA)</f>
        <v>1.4903404268878707E-3</v>
      </c>
      <c r="R12" s="7">
        <f>_xlfn.COVARIANCE.S(r_CS.PA,r_KER.PA)</f>
        <v>2.3760742024569025E-3</v>
      </c>
      <c r="S12" s="7">
        <f>_xlfn.COVARIANCE.S(r_CS.PA,r_ML.PA)</f>
        <v>2.6892393977832282E-3</v>
      </c>
      <c r="T12" s="7">
        <f>_xlfn.COVARIANCE.S(r_CS.PA,r_OR.PA)</f>
        <v>2.2424664002406013E-3</v>
      </c>
      <c r="U12" s="7">
        <f>_xlfn.COVARIANCE.S(r_CS.PA,r_SGO.PA)</f>
        <v>3.413331438098985E-3</v>
      </c>
      <c r="V12" s="7">
        <f>_xlfn.COVARIANCE.S(r_CS.PA,r_TTE.PA)</f>
        <v>4.5829542371310346E-3</v>
      </c>
      <c r="W12" s="7">
        <v>0</v>
      </c>
    </row>
    <row r="13" spans="1:23" ht="15.5" x14ac:dyDescent="0.35">
      <c r="A13" s="6" t="s">
        <v>6</v>
      </c>
      <c r="B13" s="20">
        <f>AVERAGE(r_EN.PA)*12</f>
        <v>0.11676615658866349</v>
      </c>
      <c r="C13" s="23">
        <v>-0.20619833534173024</v>
      </c>
      <c r="J13" s="6" t="s">
        <v>5</v>
      </c>
      <c r="K13" s="9">
        <f t="array" ref="K13">_xlfn.COVARIANCE.S(r_BN.PA,r_DG.PA)</f>
        <v>1.5816657056069814E-3</v>
      </c>
      <c r="L13" s="9">
        <f>_xlfn.COVARIANCE.S(r_BNP.PA,r_DG.PA)</f>
        <v>4.8937075705145468E-3</v>
      </c>
      <c r="M13" s="9">
        <f>_xlfn.COVARIANCE.S(r_CA.PA,r_DG.PA)</f>
        <v>1.8282819454405238E-3</v>
      </c>
      <c r="N13" s="9">
        <f>_xlfn.COVARIANCE.S(r_CS.PA,r_DG.PA)</f>
        <v>4.2539661870758258E-3</v>
      </c>
      <c r="O13" s="9">
        <f>_xlfn.COVARIANCE.S(r_DG.PA,r_DG.PA)</f>
        <v>4.5677273206492976E-3</v>
      </c>
      <c r="P13" s="7">
        <f>_xlfn.COVARIANCE.S(r_DG.PA,r_EN.PA)</f>
        <v>3.1012229064431053E-3</v>
      </c>
      <c r="Q13" s="7">
        <f>_xlfn.COVARIANCE.S(r_DG.PA,r_ENGI.PA)</f>
        <v>1.6672451533104719E-3</v>
      </c>
      <c r="R13" s="7">
        <f>_xlfn.COVARIANCE.S(r_DG.PA,r_KER.PA)</f>
        <v>1.9067646728961991E-3</v>
      </c>
      <c r="S13" s="7">
        <f>_xlfn.COVARIANCE.S(r_DG.PA,r_ML.PA)</f>
        <v>2.1494860716953059E-3</v>
      </c>
      <c r="T13" s="7">
        <f>_xlfn.COVARIANCE.S(r_DG.PA,r_OR.PA)</f>
        <v>1.6977869062652158E-3</v>
      </c>
      <c r="U13" s="7">
        <f>_xlfn.COVARIANCE.S(r_DG.PA,r_SGO.PA)</f>
        <v>3.6168094056824268E-3</v>
      </c>
      <c r="V13" s="7">
        <f>_xlfn.COVARIANCE.S(r_DG.PA,r_TTE.PA)</f>
        <v>3.5813150548939135E-3</v>
      </c>
      <c r="W13" s="7">
        <v>0</v>
      </c>
    </row>
    <row r="14" spans="1:23" ht="15.5" x14ac:dyDescent="0.35">
      <c r="A14" s="6" t="s">
        <v>7</v>
      </c>
      <c r="B14" s="20">
        <f>AVERAGE(r_ENGI.PA)*12</f>
        <v>0.19109489942337862</v>
      </c>
      <c r="C14" s="23">
        <v>0.22101410046537978</v>
      </c>
      <c r="J14" s="6" t="s">
        <v>6</v>
      </c>
      <c r="K14" s="9">
        <f t="array" ref="K14">_xlfn.COVARIANCE.S(r_BN.PA,r_EN.PA)</f>
        <v>1.4603699017369702E-3</v>
      </c>
      <c r="L14" s="9">
        <f>_xlfn.COVARIANCE.S(r_BNP.PA,r_EN.PA)</f>
        <v>3.912367091738379E-3</v>
      </c>
      <c r="M14" s="9">
        <f>_xlfn.COVARIANCE.S(r_CA.PA,r_EN.PA)</f>
        <v>1.5114057817238924E-3</v>
      </c>
      <c r="N14" s="9">
        <f>_xlfn.COVARIANCE.S(r_CS.PA,r_EN.PA)</f>
        <v>3.7683670488866733E-3</v>
      </c>
      <c r="O14" s="9">
        <f>_xlfn.COVARIANCE.S(r_DG.PA,r_EN.PA)</f>
        <v>3.1012229064431053E-3</v>
      </c>
      <c r="P14" s="9">
        <f>_xlfn.COVARIANCE.S(r_EN.PA,r_EN.PA)</f>
        <v>4.1790055691320596E-3</v>
      </c>
      <c r="Q14" s="7">
        <f>_xlfn.COVARIANCE.S(r_EN.PA,r_ENGI.PA)</f>
        <v>1.1714249285673358E-3</v>
      </c>
      <c r="R14" s="7">
        <f>_xlfn.COVARIANCE.S(r_EN.PA,r_KER.PA)</f>
        <v>1.0133847352993767E-3</v>
      </c>
      <c r="S14" s="7">
        <f>_xlfn.COVARIANCE.S(r_EN.PA,r_ML.PA)</f>
        <v>1.8477621029949155E-3</v>
      </c>
      <c r="T14" s="7">
        <f>_xlfn.COVARIANCE.S(r_EN.PA,r_OR.PA)</f>
        <v>1.443404729485396E-3</v>
      </c>
      <c r="U14" s="7">
        <f>_xlfn.COVARIANCE.S(r_EN.PA,r_SGO.PA)</f>
        <v>2.6318445158480218E-3</v>
      </c>
      <c r="V14" s="7">
        <f>_xlfn.COVARIANCE.S(r_EN.PA,r_TTE.PA)</f>
        <v>2.6077557879229181E-3</v>
      </c>
      <c r="W14" s="7">
        <v>0</v>
      </c>
    </row>
    <row r="15" spans="1:23" ht="15.5" x14ac:dyDescent="0.35">
      <c r="A15" s="6" t="s">
        <v>8</v>
      </c>
      <c r="B15" s="20">
        <f>AVERAGE(r_KER.PA)*12</f>
        <v>-3.7197964699965641E-2</v>
      </c>
      <c r="C15" s="23">
        <v>-0.38812232699205318</v>
      </c>
      <c r="J15" s="6" t="s">
        <v>7</v>
      </c>
      <c r="K15" s="9">
        <f t="array" ref="K15">_xlfn.COVARIANCE.S(r_BN.PA,r_ENGI.PA)</f>
        <v>7.8248589557419139E-4</v>
      </c>
      <c r="L15" s="9">
        <f>_xlfn.COVARIANCE.S(r_BNP.PA,r_ENGI.PA)</f>
        <v>2.4561620133825152E-3</v>
      </c>
      <c r="M15" s="9">
        <f>_xlfn.COVARIANCE.S(r_CA.PA,r_ENGI.PA)</f>
        <v>7.4409201397707581E-4</v>
      </c>
      <c r="N15" s="9">
        <f>_xlfn.COVARIANCE.S(r_CS.PA,r_ENGI.PA)</f>
        <v>1.4903404268878707E-3</v>
      </c>
      <c r="O15" s="9">
        <f>_xlfn.COVARIANCE.S(r_DG.PA,r_ENGI.PA)</f>
        <v>1.6672451533104719E-3</v>
      </c>
      <c r="P15" s="9">
        <f>_xlfn.COVARIANCE.S(r_EN.PA,r_ENGI.PA)</f>
        <v>1.1714249285673358E-3</v>
      </c>
      <c r="Q15" s="9">
        <f>_xlfn.COVARIANCE.S(r_ENGI.PA,r_ENGI.PA)</f>
        <v>4.3015500865134408E-3</v>
      </c>
      <c r="R15" s="7">
        <f>_xlfn.COVARIANCE.S(r_ENGI.PA,r_KER.PA)</f>
        <v>1.3765347697689628E-3</v>
      </c>
      <c r="S15" s="7">
        <f>_xlfn.COVARIANCE.S(r_ENGI.PA,r_ML.PA)</f>
        <v>1.0788464067747806E-3</v>
      </c>
      <c r="T15" s="7">
        <f>_xlfn.COVARIANCE.S(r_ENGI.PA,r_OR.PA)</f>
        <v>9.6638326751576488E-4</v>
      </c>
      <c r="U15" s="7">
        <f>_xlfn.COVARIANCE.S(r_ENGI.PA,r_SGO.PA)</f>
        <v>2.03789642719084E-3</v>
      </c>
      <c r="V15" s="7">
        <f>_xlfn.COVARIANCE.S(r_ENGI.PA,r_TTE.PA)</f>
        <v>2.3898488184972097E-3</v>
      </c>
      <c r="W15" s="7">
        <v>0</v>
      </c>
    </row>
    <row r="16" spans="1:23" ht="15.5" x14ac:dyDescent="0.35">
      <c r="A16" s="6" t="s">
        <v>9</v>
      </c>
      <c r="B16" s="20">
        <f>AVERAGE(r_ML.PA)*12</f>
        <v>0.15975950333029129</v>
      </c>
      <c r="C16" s="23">
        <v>-0.30432906498966478</v>
      </c>
      <c r="J16" s="6" t="s">
        <v>8</v>
      </c>
      <c r="K16" s="9">
        <f t="array" ref="K16">_xlfn.COVARIANCE.S(r_BN.PA,r_KER.PA)</f>
        <v>6.7824696874770995E-4</v>
      </c>
      <c r="L16" s="9">
        <f>_xlfn.COVARIANCE.S(r_BNP.PA,r_KER.PA)</f>
        <v>2.5786093471474513E-3</v>
      </c>
      <c r="M16" s="9">
        <f>_xlfn.COVARIANCE.S(r_CA.PA,r_KER.PA)</f>
        <v>1.1529168347962468E-3</v>
      </c>
      <c r="N16" s="9">
        <f>_xlfn.COVARIANCE.S(r_CS.PA,r_KER.PA)</f>
        <v>2.3760742024569025E-3</v>
      </c>
      <c r="O16" s="9">
        <f>_xlfn.COVARIANCE.S(r_DG.PA,r_KER.PA)</f>
        <v>1.9067646728961991E-3</v>
      </c>
      <c r="P16" s="9">
        <f>_xlfn.COVARIANCE.S(r_EN.PA,r_KER.PA)</f>
        <v>1.0133847352993767E-3</v>
      </c>
      <c r="Q16" s="9">
        <f>_xlfn.COVARIANCE.S(r_ENGI.PA,r_KER.PA)</f>
        <v>1.3765347697689628E-3</v>
      </c>
      <c r="R16" s="9">
        <f>_xlfn.COVARIANCE.S(r_KER.PA,r_KER.PA)</f>
        <v>8.5930649570569728E-3</v>
      </c>
      <c r="S16" s="7">
        <f>_xlfn.COVARIANCE.S(r_KER.PA,r_ML.PA)</f>
        <v>2.469834919733281E-3</v>
      </c>
      <c r="T16" s="7">
        <f>_xlfn.COVARIANCE.S(r_KER.PA,r_OR.PA)</f>
        <v>3.4437359881164774E-3</v>
      </c>
      <c r="U16" s="7">
        <f>_xlfn.COVARIANCE.S(r_KER.PA,r_SGO.PA)</f>
        <v>2.9720823638327686E-3</v>
      </c>
      <c r="V16" s="7">
        <f>_xlfn.COVARIANCE.S(r_KER.PA,r_TTE.PA)</f>
        <v>8.115180793056018E-4</v>
      </c>
      <c r="W16" s="7">
        <v>0</v>
      </c>
    </row>
    <row r="17" spans="1:70" ht="15.5" x14ac:dyDescent="0.35">
      <c r="A17" s="6" t="s">
        <v>10</v>
      </c>
      <c r="B17" s="20">
        <f>AVERAGE(r_OR.PA)*12</f>
        <v>0.1096751689273163</v>
      </c>
      <c r="C17" s="23">
        <v>0.42004556978844992</v>
      </c>
      <c r="J17" s="6" t="s">
        <v>9</v>
      </c>
      <c r="K17" s="9">
        <f t="array" ref="K17">_xlfn.COVARIANCE.S(r_BN.PA,r_ML.PA)</f>
        <v>9.8826450180782596E-4</v>
      </c>
      <c r="L17" s="9">
        <f>_xlfn.COVARIANCE.S(r_BNP.PA,r_ML.PA)</f>
        <v>3.4727992677922371E-3</v>
      </c>
      <c r="M17" s="9">
        <f>_xlfn.COVARIANCE.S(r_CA.PA,r_ML.PA)</f>
        <v>1.4086100481433643E-3</v>
      </c>
      <c r="N17" s="9">
        <f>_xlfn.COVARIANCE.S(r_CS.PA,r_ML.PA)</f>
        <v>2.6892393977832282E-3</v>
      </c>
      <c r="O17" s="9">
        <f>_xlfn.COVARIANCE.S(r_DG.PA,r_ML.PA)</f>
        <v>2.1494860716953059E-3</v>
      </c>
      <c r="P17" s="9">
        <f>_xlfn.COVARIANCE.S(r_EN.PA,r_ML.PA)</f>
        <v>1.8477621029949155E-3</v>
      </c>
      <c r="Q17" s="9">
        <f>_xlfn.COVARIANCE.S(r_ENGI.PA,r_ML.PA)</f>
        <v>1.0788464067747806E-3</v>
      </c>
      <c r="R17" s="9">
        <f>_xlfn.COVARIANCE.S(r_KER.PA,r_ML.PA)</f>
        <v>2.469834919733281E-3</v>
      </c>
      <c r="S17" s="9">
        <f>_xlfn.COVARIANCE.S(r_ML.PA,r_ML.PA)</f>
        <v>4.1170211679505591E-3</v>
      </c>
      <c r="T17" s="7">
        <f>_xlfn.COVARIANCE.S(r_ML.PA,r_OR.PA)</f>
        <v>1.9679299419534798E-3</v>
      </c>
      <c r="U17" s="7">
        <f>_xlfn.COVARIANCE.S(r_ML.PA,r_SGO.PA)</f>
        <v>3.7470567694645237E-3</v>
      </c>
      <c r="V17" s="7">
        <f>_xlfn.COVARIANCE.S(r_ML.PA,r_TTE.PA)</f>
        <v>2.3417288501874781E-3</v>
      </c>
      <c r="W17" s="7">
        <v>0</v>
      </c>
    </row>
    <row r="18" spans="1:70" ht="15.5" x14ac:dyDescent="0.35">
      <c r="A18" s="6" t="s">
        <v>11</v>
      </c>
      <c r="B18" s="20">
        <f>AVERAGE(r_SGO.PA)*12</f>
        <v>0.3668735385715004</v>
      </c>
      <c r="C18" s="23">
        <v>0.83493566893309068</v>
      </c>
      <c r="F18" t="s">
        <v>61</v>
      </c>
      <c r="J18" s="6" t="s">
        <v>10</v>
      </c>
      <c r="K18" s="9">
        <f t="array" ref="K18">_xlfn.COVARIANCE.S(r_BN.PA,r_OR.PA)</f>
        <v>8.9934886182130693E-4</v>
      </c>
      <c r="L18" s="9">
        <f>_xlfn.COVARIANCE.S(r_BNP.PA,r_OR.PA)</f>
        <v>2.5874633990755356E-3</v>
      </c>
      <c r="M18" s="9">
        <f>_xlfn.COVARIANCE.S(r_CA.PA,r_OR.PA)</f>
        <v>9.8430171331587353E-4</v>
      </c>
      <c r="N18" s="9">
        <f>_xlfn.COVARIANCE.S(r_CS.PA,r_OR.PA)</f>
        <v>2.2424664002406013E-3</v>
      </c>
      <c r="O18" s="9">
        <f>_xlfn.COVARIANCE.S(r_DG.PA,r_OR.PA)</f>
        <v>1.6977869062652158E-3</v>
      </c>
      <c r="P18" s="9">
        <f>_xlfn.COVARIANCE.S(r_EN.PA,r_OR.PA)</f>
        <v>1.443404729485396E-3</v>
      </c>
      <c r="Q18" s="9">
        <f>_xlfn.COVARIANCE.S(r_ENGI.PA,r_OR.PA)</f>
        <v>9.6638326751576488E-4</v>
      </c>
      <c r="R18" s="9">
        <f>_xlfn.COVARIANCE.S(r_KER.PA,r_OR.PA)</f>
        <v>3.4437359881164774E-3</v>
      </c>
      <c r="S18" s="9">
        <f>_xlfn.COVARIANCE.S(r_ML.PA,r_OR.PA)</f>
        <v>1.9679299419534798E-3</v>
      </c>
      <c r="T18" s="9">
        <f>_xlfn.COVARIANCE.S(r_OR.PA,r_OR.PA)</f>
        <v>3.8383638003117197E-3</v>
      </c>
      <c r="U18" s="7">
        <f>_xlfn.COVARIANCE.S(r_OR.PA,r_SGO.PA)</f>
        <v>2.1507037896846552E-3</v>
      </c>
      <c r="V18" s="7">
        <f>_xlfn.COVARIANCE.S(r_OR.PA,r_TTE.PA)</f>
        <v>4.0556394450130335E-4</v>
      </c>
      <c r="W18" s="7">
        <v>0</v>
      </c>
    </row>
    <row r="19" spans="1:70" ht="16" thickBot="1" x14ac:dyDescent="0.4">
      <c r="A19" s="6" t="s">
        <v>12</v>
      </c>
      <c r="B19" s="21">
        <f>AVERAGE(r_TTE.PA)*12</f>
        <v>0.20708722422129289</v>
      </c>
      <c r="C19" s="24">
        <v>0.2766763640596489</v>
      </c>
      <c r="J19" s="6" t="s">
        <v>11</v>
      </c>
      <c r="K19" s="9">
        <f t="array" ref="K19">_xlfn.COVARIANCE.S(r_BN.PA,r_SGO.PA)</f>
        <v>1.5240945955596085E-3</v>
      </c>
      <c r="L19" s="9">
        <f>_xlfn.COVARIANCE.S(r_BNP.PA,r_SGO.PA)</f>
        <v>4.7229615350869465E-3</v>
      </c>
      <c r="M19" s="9">
        <f>_xlfn.COVARIANCE.S(r_CA.PA,r_SGO.PA)</f>
        <v>2.2217546727433895E-3</v>
      </c>
      <c r="N19" s="9">
        <f>_xlfn.COVARIANCE.S(r_CS.PA,r_SGO.PA)</f>
        <v>3.413331438098985E-3</v>
      </c>
      <c r="O19" s="9">
        <f>_xlfn.COVARIANCE.S(r_DG.PA,r_SGO.PA)</f>
        <v>3.6168094056824268E-3</v>
      </c>
      <c r="P19" s="9">
        <f>_xlfn.COVARIANCE.S(r_EN.PA,r_SGO.PA)</f>
        <v>2.6318445158480218E-3</v>
      </c>
      <c r="Q19" s="9">
        <f>_xlfn.COVARIANCE.S(r_ENGI.PA,r_SGO.PA)</f>
        <v>2.03789642719084E-3</v>
      </c>
      <c r="R19" s="9">
        <f>_xlfn.COVARIANCE.S(r_KER.PA,r_SGO.PA)</f>
        <v>2.9720823638327686E-3</v>
      </c>
      <c r="S19" s="9">
        <f>_xlfn.COVARIANCE.S(r_ML.PA,r_SGO.PA)</f>
        <v>3.7470567694645237E-3</v>
      </c>
      <c r="T19" s="9">
        <f>_xlfn.COVARIANCE.S(r_OR.PA,r_SGO.PA)</f>
        <v>2.1507037896846552E-3</v>
      </c>
      <c r="U19" s="9">
        <f>_xlfn.COVARIANCE.S(r_SGO.PA,r_SGO.PA)</f>
        <v>7.2206720874013171E-3</v>
      </c>
      <c r="V19" s="7">
        <f>_xlfn.COVARIANCE.S(r_SGO.PA,r_TTE.PA)</f>
        <v>2.3396942096443039E-3</v>
      </c>
      <c r="W19" s="7">
        <v>0</v>
      </c>
    </row>
    <row r="20" spans="1:70" ht="16" thickBot="1" x14ac:dyDescent="0.4">
      <c r="A20" s="43" t="s">
        <v>53</v>
      </c>
      <c r="B20" s="44">
        <f>B5</f>
        <v>5.0000000000000001E-3</v>
      </c>
      <c r="C20" s="45">
        <v>0.69464738523672531</v>
      </c>
      <c r="J20" s="6" t="s">
        <v>12</v>
      </c>
      <c r="K20" s="9">
        <f t="array" ref="K20">_xlfn.COVARIANCE.S(r_BN.PA,r_TTE.PA)</f>
        <v>1.2891974556949368E-3</v>
      </c>
      <c r="L20" s="9">
        <f>_xlfn.COVARIANCE.S(r_BNP.PA,r_TTE.PA)</f>
        <v>6.0361892108364229E-3</v>
      </c>
      <c r="M20" s="9">
        <f>_xlfn.COVARIANCE.S(r_CA.PA,r_TTE.PA)</f>
        <v>1.3533643346042021E-3</v>
      </c>
      <c r="N20" s="9">
        <f>_xlfn.COVARIANCE.S(r_CS.PA,r_TTE.PA)</f>
        <v>4.5829542371310346E-3</v>
      </c>
      <c r="O20" s="9">
        <f>_xlfn.COVARIANCE.S(r_DG.PA,r_TTE.PA)</f>
        <v>3.5813150548939135E-3</v>
      </c>
      <c r="P20" s="9">
        <f>_xlfn.COVARIANCE.S(r_EN.PA,r_TTE.PA)</f>
        <v>2.6077557879229181E-3</v>
      </c>
      <c r="Q20" s="9">
        <f>_xlfn.COVARIANCE.S(r_ENGI.PA,r_TTE.PA)</f>
        <v>2.3898488184972097E-3</v>
      </c>
      <c r="R20" s="9">
        <f>_xlfn.COVARIANCE.S(r_KER.PA,r_TTE.PA)</f>
        <v>8.115180793056018E-4</v>
      </c>
      <c r="S20" s="9">
        <f>_xlfn.COVARIANCE.S(r_ML.PA,r_TTE.PA)</f>
        <v>2.3417288501874781E-3</v>
      </c>
      <c r="T20" s="9">
        <f>_xlfn.COVARIANCE.S(r_OR.PA,r_TTE.PA)</f>
        <v>4.0556394450130335E-4</v>
      </c>
      <c r="U20" s="9">
        <f>_xlfn.COVARIANCE.S(r_SGO.PA,r_TTE.PA)</f>
        <v>2.3396942096443039E-3</v>
      </c>
      <c r="V20" s="9">
        <f>_xlfn.COVARIANCE.S(r_TTE.PA,r_TTE.PA)</f>
        <v>6.6574400305863448E-3</v>
      </c>
      <c r="W20" s="7">
        <v>0</v>
      </c>
    </row>
    <row r="21" spans="1:70" ht="15" thickBot="1" x14ac:dyDescent="0.4">
      <c r="J21" s="43" t="s">
        <v>53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</row>
    <row r="24" spans="1:70" x14ac:dyDescent="0.35">
      <c r="B24" s="31" t="s">
        <v>46</v>
      </c>
    </row>
    <row r="25" spans="1:70" ht="15" thickBot="1" x14ac:dyDescent="0.4">
      <c r="B25" s="32" t="s">
        <v>52</v>
      </c>
      <c r="C25" s="32" t="s">
        <v>47</v>
      </c>
      <c r="P25" s="60"/>
      <c r="Q25" s="60"/>
      <c r="R25" s="60"/>
      <c r="S25" s="60"/>
      <c r="T25" s="60"/>
      <c r="U25" s="60"/>
      <c r="V25" s="60"/>
    </row>
    <row r="26" spans="1:70" x14ac:dyDescent="0.35">
      <c r="B26" s="62">
        <v>5.0000000000000001E-3</v>
      </c>
      <c r="C26" s="63">
        <v>4.18288985040114E-6</v>
      </c>
      <c r="D26" s="60"/>
      <c r="P26" s="60"/>
      <c r="Q26" s="60"/>
      <c r="R26" s="60"/>
      <c r="S26" s="60"/>
      <c r="T26" s="60"/>
      <c r="U26" s="60"/>
      <c r="V26" s="60"/>
    </row>
    <row r="27" spans="1:70" x14ac:dyDescent="0.35">
      <c r="B27" s="64">
        <v>5.0000002646694658E-2</v>
      </c>
      <c r="C27" s="63">
        <v>2.4293309126143487E-2</v>
      </c>
      <c r="D27" s="60"/>
      <c r="P27" s="60"/>
      <c r="Q27" s="60"/>
      <c r="R27" s="60"/>
      <c r="S27" s="60"/>
      <c r="T27" s="60"/>
      <c r="U27" s="60"/>
      <c r="V27" s="60"/>
    </row>
    <row r="28" spans="1:70" ht="44" thickBot="1" x14ac:dyDescent="0.4">
      <c r="B28" s="64">
        <v>0.10000000043980567</v>
      </c>
      <c r="C28" s="63">
        <v>5.1285879343460711E-2</v>
      </c>
      <c r="D28" s="60"/>
      <c r="P28" s="60"/>
      <c r="Q28" s="60"/>
      <c r="R28" s="65"/>
      <c r="S28" s="46" t="s">
        <v>60</v>
      </c>
      <c r="T28" s="34" t="s">
        <v>79</v>
      </c>
      <c r="U28" s="35" t="s">
        <v>32</v>
      </c>
      <c r="V28" s="35" t="s">
        <v>42</v>
      </c>
      <c r="W28" s="35" t="s">
        <v>34</v>
      </c>
      <c r="X28" s="35" t="s">
        <v>33</v>
      </c>
      <c r="Y28" s="35" t="s">
        <v>35</v>
      </c>
      <c r="AA28" s="65"/>
      <c r="AB28" s="46" t="s">
        <v>60</v>
      </c>
      <c r="AC28" s="34" t="s">
        <v>79</v>
      </c>
      <c r="AD28" s="35" t="s">
        <v>32</v>
      </c>
      <c r="AE28" s="35" t="s">
        <v>42</v>
      </c>
      <c r="AF28" s="35" t="s">
        <v>34</v>
      </c>
      <c r="AG28" s="35" t="s">
        <v>33</v>
      </c>
      <c r="AH28" s="35" t="s">
        <v>35</v>
      </c>
      <c r="AJ28" s="65"/>
      <c r="AK28" s="46" t="s">
        <v>60</v>
      </c>
      <c r="AL28" s="34" t="s">
        <v>79</v>
      </c>
      <c r="AM28" s="35" t="s">
        <v>32</v>
      </c>
      <c r="AN28" s="35" t="s">
        <v>42</v>
      </c>
      <c r="AO28" s="35" t="s">
        <v>34</v>
      </c>
      <c r="AP28" s="35" t="s">
        <v>33</v>
      </c>
      <c r="AQ28" s="35" t="s">
        <v>35</v>
      </c>
      <c r="AS28" s="65"/>
      <c r="AT28" s="46" t="s">
        <v>60</v>
      </c>
      <c r="AU28" s="34" t="s">
        <v>79</v>
      </c>
      <c r="AV28" s="35" t="s">
        <v>32</v>
      </c>
      <c r="AW28" s="35" t="s">
        <v>42</v>
      </c>
      <c r="AX28" s="35" t="s">
        <v>34</v>
      </c>
      <c r="AY28" s="35" t="s">
        <v>33</v>
      </c>
      <c r="AZ28" s="35" t="s">
        <v>35</v>
      </c>
      <c r="BB28" s="65"/>
      <c r="BC28" s="46" t="s">
        <v>60</v>
      </c>
      <c r="BD28" s="34" t="s">
        <v>79</v>
      </c>
      <c r="BE28" s="35" t="s">
        <v>32</v>
      </c>
      <c r="BF28" s="35" t="s">
        <v>42</v>
      </c>
      <c r="BG28" s="35" t="s">
        <v>34</v>
      </c>
      <c r="BH28" s="35" t="s">
        <v>33</v>
      </c>
      <c r="BI28" s="35" t="s">
        <v>35</v>
      </c>
      <c r="BK28" s="65"/>
      <c r="BL28" s="46" t="s">
        <v>60</v>
      </c>
      <c r="BM28" s="34" t="s">
        <v>79</v>
      </c>
      <c r="BN28" s="35" t="s">
        <v>32</v>
      </c>
      <c r="BO28" s="35" t="s">
        <v>42</v>
      </c>
      <c r="BP28" s="35" t="s">
        <v>34</v>
      </c>
      <c r="BQ28" s="35" t="s">
        <v>33</v>
      </c>
      <c r="BR28" s="35" t="s">
        <v>35</v>
      </c>
    </row>
    <row r="29" spans="1:70" ht="16" thickBot="1" x14ac:dyDescent="0.4">
      <c r="B29" s="64">
        <v>0.2</v>
      </c>
      <c r="C29" s="63">
        <v>0.10527100889563899</v>
      </c>
      <c r="D29" s="60"/>
      <c r="P29" s="60"/>
      <c r="Q29" s="60"/>
      <c r="R29" s="6" t="s">
        <v>1</v>
      </c>
      <c r="S29" s="20">
        <v>8.0141008757000587E-2</v>
      </c>
      <c r="T29" s="23">
        <v>-1.6188127481841136E-6</v>
      </c>
      <c r="U29" s="25">
        <v>1.0000000000000004</v>
      </c>
      <c r="V29" s="50">
        <v>5.0000000000000001E-3</v>
      </c>
      <c r="W29" s="50">
        <v>4.9999998712573724E-3</v>
      </c>
      <c r="X29" s="50">
        <v>1.0857862905556206E-12</v>
      </c>
      <c r="Y29" s="39">
        <v>1.0420106959890673E-6</v>
      </c>
      <c r="AA29" s="6" t="s">
        <v>1</v>
      </c>
      <c r="AB29" s="20">
        <v>8.0141008757000587E-2</v>
      </c>
      <c r="AC29" s="23">
        <v>-1.2859874749664541E-2</v>
      </c>
      <c r="AD29" s="25">
        <v>0.99999999999999956</v>
      </c>
      <c r="AE29" s="50">
        <v>5.0000002646694658E-2</v>
      </c>
      <c r="AF29" s="50">
        <v>4.9999982464024526E-2</v>
      </c>
      <c r="AG29" s="50">
        <v>5.9016539270961811E-4</v>
      </c>
      <c r="AH29" s="39">
        <v>2.4293319919467947E-2</v>
      </c>
      <c r="AJ29" s="6" t="s">
        <v>1</v>
      </c>
      <c r="AK29" s="20">
        <v>8.0141008757000587E-2</v>
      </c>
      <c r="AL29" s="23">
        <v>-2.6926718495719985E-2</v>
      </c>
      <c r="AM29" s="25">
        <v>0.99999999999999989</v>
      </c>
      <c r="AN29" s="50">
        <v>0.1</v>
      </c>
      <c r="AO29" s="50">
        <v>0.10000000083689418</v>
      </c>
      <c r="AP29" s="50">
        <v>2.6302415129749626E-3</v>
      </c>
      <c r="AQ29" s="39">
        <v>5.128588024958685E-2</v>
      </c>
      <c r="AS29" s="6" t="s">
        <v>1</v>
      </c>
      <c r="AT29" s="20">
        <v>8.0141008757000587E-2</v>
      </c>
      <c r="AU29" s="23">
        <v>-5.5392484902663297E-2</v>
      </c>
      <c r="AV29" s="25">
        <v>0.99999999999999989</v>
      </c>
      <c r="AW29" s="50">
        <v>0.2</v>
      </c>
      <c r="AX29" s="50">
        <v>0.20000000061384746</v>
      </c>
      <c r="AY29" s="50">
        <v>1.1081985462922803E-2</v>
      </c>
      <c r="AZ29" s="39">
        <v>0.10527100960341743</v>
      </c>
      <c r="BB29" s="6" t="s">
        <v>1</v>
      </c>
      <c r="BC29" s="20">
        <v>8.0141008757000587E-2</v>
      </c>
      <c r="BD29" s="23">
        <v>-8.3801318938372477E-2</v>
      </c>
      <c r="BE29" s="25">
        <v>1</v>
      </c>
      <c r="BF29" s="50">
        <v>0.3</v>
      </c>
      <c r="BG29" s="50">
        <v>0.30000000061404164</v>
      </c>
      <c r="BH29" s="50">
        <v>2.5362518680283587E-2</v>
      </c>
      <c r="BI29" s="39">
        <v>0.15925614173489067</v>
      </c>
      <c r="BK29" s="6" t="s">
        <v>1</v>
      </c>
      <c r="BL29" s="20">
        <v>8.0141008757000587E-2</v>
      </c>
      <c r="BM29" s="23">
        <v>-0.11221064137815857</v>
      </c>
      <c r="BN29" s="25">
        <v>1</v>
      </c>
      <c r="BO29" s="50">
        <v>0.4</v>
      </c>
      <c r="BP29" s="50">
        <v>0.40000000088044468</v>
      </c>
      <c r="BQ29" s="50">
        <v>4.5471840780628284E-2</v>
      </c>
      <c r="BR29" s="39">
        <v>0.2132412736330101</v>
      </c>
    </row>
    <row r="30" spans="1:70" ht="15.5" x14ac:dyDescent="0.35">
      <c r="B30" s="64">
        <v>0.3</v>
      </c>
      <c r="C30" s="63">
        <v>0.15925614052825829</v>
      </c>
      <c r="D30" s="60"/>
      <c r="P30" s="60"/>
      <c r="Q30" s="60"/>
      <c r="R30" s="6" t="s">
        <v>2</v>
      </c>
      <c r="S30" s="20">
        <v>0.32603851869449318</v>
      </c>
      <c r="T30" s="23">
        <v>-4.2578279072038781E-7</v>
      </c>
      <c r="U30" s="66"/>
      <c r="V30" s="66"/>
      <c r="W30" s="66"/>
      <c r="X30" s="66"/>
      <c r="Y30" s="66"/>
      <c r="AA30" s="6" t="s">
        <v>2</v>
      </c>
      <c r="AB30" s="20">
        <v>0.32603851869449318</v>
      </c>
      <c r="AC30" s="23">
        <v>-1.6809322132826234E-2</v>
      </c>
      <c r="AD30" s="66"/>
      <c r="AE30" s="66"/>
      <c r="AF30" s="66"/>
      <c r="AG30" s="66"/>
      <c r="AH30" s="66"/>
      <c r="AJ30" s="6" t="s">
        <v>2</v>
      </c>
      <c r="AK30" s="20">
        <v>0.32603851869449318</v>
      </c>
      <c r="AL30" s="23">
        <v>-3.5281477803294346E-2</v>
      </c>
      <c r="AM30" s="66"/>
      <c r="AN30" s="66"/>
      <c r="AO30" s="66"/>
      <c r="AP30" s="66"/>
      <c r="AQ30" s="66"/>
      <c r="AS30" s="6" t="s">
        <v>2</v>
      </c>
      <c r="AT30" s="20">
        <v>0.32603851869449318</v>
      </c>
      <c r="AU30" s="23">
        <v>-7.2519977358939919E-2</v>
      </c>
      <c r="AV30" s="66"/>
      <c r="AW30" s="66"/>
      <c r="AX30" s="66"/>
      <c r="AY30" s="66"/>
      <c r="AZ30" s="66"/>
      <c r="BB30" s="6" t="s">
        <v>2</v>
      </c>
      <c r="BC30" s="20">
        <v>0.32603851869449318</v>
      </c>
      <c r="BD30" s="23">
        <v>-0.10971802897763051</v>
      </c>
      <c r="BE30" s="66"/>
      <c r="BF30" s="66"/>
      <c r="BG30" s="66"/>
      <c r="BH30" s="66"/>
      <c r="BI30" s="66"/>
      <c r="BK30" s="6" t="s">
        <v>2</v>
      </c>
      <c r="BL30" s="20">
        <v>0.32603851869449318</v>
      </c>
      <c r="BM30" s="23">
        <v>-0.14691669010536168</v>
      </c>
      <c r="BN30" s="66"/>
      <c r="BO30" s="66"/>
      <c r="BP30" s="66"/>
      <c r="BQ30" s="66"/>
      <c r="BR30" s="66"/>
    </row>
    <row r="31" spans="1:70" ht="15.5" x14ac:dyDescent="0.35">
      <c r="B31" s="64">
        <v>0.4</v>
      </c>
      <c r="C31" s="63">
        <v>0.2132413211445679</v>
      </c>
      <c r="D31" s="60"/>
      <c r="P31" s="60"/>
      <c r="Q31" s="60"/>
      <c r="R31" s="6" t="s">
        <v>3</v>
      </c>
      <c r="S31" s="20">
        <v>4.2391280458784326E-2</v>
      </c>
      <c r="T31" s="23">
        <v>-2.0042727385157681E-7</v>
      </c>
      <c r="U31" s="66"/>
      <c r="V31" s="66"/>
      <c r="W31" s="66"/>
      <c r="X31" s="66"/>
      <c r="Y31" s="66"/>
      <c r="AA31" s="6" t="s">
        <v>3</v>
      </c>
      <c r="AB31" s="20">
        <v>4.2391280458784326E-2</v>
      </c>
      <c r="AC31" s="23">
        <v>-2.5290954186344167E-2</v>
      </c>
      <c r="AD31" s="66"/>
      <c r="AE31" s="66"/>
      <c r="AF31" s="66"/>
      <c r="AG31" s="66"/>
      <c r="AH31" s="66"/>
      <c r="AJ31" s="6" t="s">
        <v>3</v>
      </c>
      <c r="AK31" s="20">
        <v>4.2391280458784326E-2</v>
      </c>
      <c r="AL31" s="23">
        <v>-5.3283918075569162E-2</v>
      </c>
      <c r="AM31" s="66"/>
      <c r="AN31" s="66"/>
      <c r="AO31" s="66"/>
      <c r="AP31" s="66"/>
      <c r="AQ31" s="66"/>
      <c r="AS31" s="6" t="s">
        <v>3</v>
      </c>
      <c r="AT31" s="20">
        <v>4.2391280458784326E-2</v>
      </c>
      <c r="AU31" s="23">
        <v>-0.10933284938984336</v>
      </c>
      <c r="AV31" s="66"/>
      <c r="AW31" s="66"/>
      <c r="AX31" s="66"/>
      <c r="AY31" s="66"/>
      <c r="AZ31" s="66"/>
      <c r="BB31" s="6" t="s">
        <v>3</v>
      </c>
      <c r="BC31" s="20">
        <v>4.2391280458784326E-2</v>
      </c>
      <c r="BD31" s="23">
        <v>-0.16540750617864741</v>
      </c>
      <c r="BE31" s="66"/>
      <c r="BF31" s="66"/>
      <c r="BG31" s="66"/>
      <c r="BH31" s="66"/>
      <c r="BI31" s="66"/>
      <c r="BK31" s="6" t="s">
        <v>3</v>
      </c>
      <c r="BL31" s="20">
        <v>4.2391280458784326E-2</v>
      </c>
      <c r="BM31" s="23">
        <v>-0.22148494913495764</v>
      </c>
      <c r="BN31" s="66"/>
      <c r="BO31" s="66"/>
      <c r="BP31" s="66"/>
      <c r="BQ31" s="66"/>
      <c r="BR31" s="66"/>
    </row>
    <row r="32" spans="1:70" ht="15.5" x14ac:dyDescent="0.35">
      <c r="B32" s="42">
        <f>B31+10%</f>
        <v>0.5</v>
      </c>
      <c r="C32" s="26">
        <v>0.26722640528865049</v>
      </c>
      <c r="D32" s="60"/>
      <c r="P32" s="60"/>
      <c r="Q32" s="60"/>
      <c r="R32" s="6" t="s">
        <v>4</v>
      </c>
      <c r="S32" s="20">
        <v>0.27105391138211221</v>
      </c>
      <c r="T32" s="23">
        <v>2.3005618042273042E-6</v>
      </c>
      <c r="U32" s="66"/>
      <c r="V32" s="66"/>
      <c r="W32" s="66"/>
      <c r="X32" s="66"/>
      <c r="Y32" s="66"/>
      <c r="AA32" s="6" t="s">
        <v>4</v>
      </c>
      <c r="AB32" s="20">
        <v>0.27105391138211221</v>
      </c>
      <c r="AC32" s="23">
        <v>6.6550608268792652E-2</v>
      </c>
      <c r="AD32" s="66"/>
      <c r="AE32" s="66"/>
      <c r="AF32" s="66"/>
      <c r="AG32" s="66"/>
      <c r="AH32" s="66"/>
      <c r="AJ32" s="6" t="s">
        <v>4</v>
      </c>
      <c r="AK32" s="20">
        <v>0.27105391138211221</v>
      </c>
      <c r="AL32" s="23">
        <v>0.14041039800754662</v>
      </c>
      <c r="AM32" s="66"/>
      <c r="AN32" s="66"/>
      <c r="AO32" s="66"/>
      <c r="AP32" s="66"/>
      <c r="AQ32" s="66"/>
      <c r="AS32" s="6" t="s">
        <v>4</v>
      </c>
      <c r="AT32" s="20">
        <v>0.27105391138211221</v>
      </c>
      <c r="AU32" s="23">
        <v>0.28827241095885497</v>
      </c>
      <c r="AV32" s="66"/>
      <c r="AW32" s="66"/>
      <c r="AX32" s="66"/>
      <c r="AY32" s="66"/>
      <c r="AZ32" s="66"/>
      <c r="BB32" s="6" t="s">
        <v>4</v>
      </c>
      <c r="BC32" s="20">
        <v>0.27105391138211221</v>
      </c>
      <c r="BD32" s="23">
        <v>0.43611246772386503</v>
      </c>
      <c r="BE32" s="66"/>
      <c r="BF32" s="66"/>
      <c r="BG32" s="66"/>
      <c r="BH32" s="66"/>
      <c r="BI32" s="66"/>
      <c r="BK32" s="6" t="s">
        <v>4</v>
      </c>
      <c r="BL32" s="20">
        <v>0.27105391138211221</v>
      </c>
      <c r="BM32" s="23">
        <v>0.58395333052455878</v>
      </c>
      <c r="BN32" s="66"/>
      <c r="BO32" s="66"/>
      <c r="BP32" s="66"/>
      <c r="BQ32" s="66"/>
      <c r="BR32" s="66"/>
    </row>
    <row r="33" spans="2:70" ht="15.5" x14ac:dyDescent="0.35">
      <c r="B33" s="42">
        <f t="shared" ref="B33:B44" si="0">B32+10%</f>
        <v>0.6</v>
      </c>
      <c r="C33" s="26">
        <v>0.32121161659062275</v>
      </c>
      <c r="D33" s="60"/>
      <c r="P33" s="60"/>
      <c r="Q33" s="60"/>
      <c r="R33" s="6" t="s">
        <v>5</v>
      </c>
      <c r="S33" s="20">
        <v>0.13670020780747316</v>
      </c>
      <c r="T33" s="23">
        <v>3.5559795487090151E-7</v>
      </c>
      <c r="U33" s="65"/>
      <c r="V33" s="65"/>
      <c r="W33" s="65"/>
      <c r="X33" s="65"/>
      <c r="Y33" s="65"/>
      <c r="AA33" s="6" t="s">
        <v>5</v>
      </c>
      <c r="AB33" s="20">
        <v>0.13670020780747316</v>
      </c>
      <c r="AC33" s="23">
        <v>-7.4125081477274452E-2</v>
      </c>
      <c r="AD33" s="65"/>
      <c r="AE33" s="65"/>
      <c r="AF33" s="65"/>
      <c r="AG33" s="65"/>
      <c r="AH33" s="65"/>
      <c r="AJ33" s="6" t="s">
        <v>5</v>
      </c>
      <c r="AK33" s="20">
        <v>0.13670020780747316</v>
      </c>
      <c r="AL33" s="23">
        <v>-0.15680154069635835</v>
      </c>
      <c r="AM33" s="65"/>
      <c r="AN33" s="65"/>
      <c r="AO33" s="65"/>
      <c r="AP33" s="65"/>
      <c r="AQ33" s="65"/>
      <c r="AS33" s="6" t="s">
        <v>5</v>
      </c>
      <c r="AT33" s="20">
        <v>0.13670020780747316</v>
      </c>
      <c r="AU33" s="23">
        <v>-0.32188763931943737</v>
      </c>
      <c r="AV33" s="65"/>
      <c r="AW33" s="65"/>
      <c r="AX33" s="65"/>
      <c r="AY33" s="65"/>
      <c r="AZ33" s="65"/>
      <c r="BB33" s="6" t="s">
        <v>5</v>
      </c>
      <c r="BC33" s="20">
        <v>0.13670020780747316</v>
      </c>
      <c r="BD33" s="23">
        <v>-0.48695289045928103</v>
      </c>
      <c r="BE33" s="65"/>
      <c r="BF33" s="65"/>
      <c r="BG33" s="65"/>
      <c r="BH33" s="65"/>
      <c r="BI33" s="65"/>
      <c r="BK33" s="6" t="s">
        <v>5</v>
      </c>
      <c r="BL33" s="20">
        <v>0.13670020780747316</v>
      </c>
      <c r="BM33" s="23">
        <v>-0.6520104110659275</v>
      </c>
      <c r="BN33" s="65"/>
      <c r="BO33" s="65"/>
      <c r="BP33" s="65"/>
      <c r="BQ33" s="65"/>
      <c r="BR33" s="65"/>
    </row>
    <row r="34" spans="2:70" ht="15.5" x14ac:dyDescent="0.35">
      <c r="B34" s="42">
        <f t="shared" si="0"/>
        <v>0.7</v>
      </c>
      <c r="C34" s="26">
        <v>0.37519676433202837</v>
      </c>
      <c r="D34" s="60"/>
      <c r="P34" s="60"/>
      <c r="Q34" s="60"/>
      <c r="R34" s="6" t="s">
        <v>6</v>
      </c>
      <c r="S34" s="20">
        <v>0.11676615658866349</v>
      </c>
      <c r="T34" s="23">
        <v>-2.2408546454632827E-6</v>
      </c>
      <c r="U34" s="65"/>
      <c r="V34" s="65"/>
      <c r="W34" s="65"/>
      <c r="X34" s="65"/>
      <c r="Y34" s="65"/>
      <c r="AA34" s="6" t="s">
        <v>6</v>
      </c>
      <c r="AB34" s="20">
        <v>0.11676615658866349</v>
      </c>
      <c r="AC34" s="23">
        <v>-2.3587594821114336E-2</v>
      </c>
      <c r="AD34" s="65"/>
      <c r="AE34" s="65"/>
      <c r="AF34" s="65"/>
      <c r="AG34" s="65"/>
      <c r="AH34" s="65"/>
      <c r="AJ34" s="6" t="s">
        <v>6</v>
      </c>
      <c r="AK34" s="20">
        <v>0.11676615658866349</v>
      </c>
      <c r="AL34" s="23">
        <v>-4.9622302751004807E-2</v>
      </c>
      <c r="AM34" s="65"/>
      <c r="AN34" s="65"/>
      <c r="AO34" s="65"/>
      <c r="AP34" s="65"/>
      <c r="AQ34" s="65"/>
      <c r="AS34" s="6" t="s">
        <v>6</v>
      </c>
      <c r="AT34" s="20">
        <v>0.11676615658866349</v>
      </c>
      <c r="AU34" s="23">
        <v>-0.10181113703096539</v>
      </c>
      <c r="AV34" s="65"/>
      <c r="AW34" s="65"/>
      <c r="AX34" s="65"/>
      <c r="AY34" s="65"/>
      <c r="AZ34" s="65"/>
      <c r="BB34" s="6" t="s">
        <v>6</v>
      </c>
      <c r="BC34" s="20">
        <v>0.11676615658866349</v>
      </c>
      <c r="BD34" s="23">
        <v>-0.15400817051913249</v>
      </c>
      <c r="BE34" s="65"/>
      <c r="BF34" s="65"/>
      <c r="BG34" s="65"/>
      <c r="BH34" s="65"/>
      <c r="BI34" s="65"/>
      <c r="BK34" s="6" t="s">
        <v>6</v>
      </c>
      <c r="BL34" s="20">
        <v>0.11676615658866349</v>
      </c>
      <c r="BM34" s="23">
        <v>-0.20619833534173024</v>
      </c>
      <c r="BN34" s="65"/>
      <c r="BO34" s="65"/>
      <c r="BP34" s="65"/>
      <c r="BQ34" s="65"/>
      <c r="BR34" s="65"/>
    </row>
    <row r="35" spans="2:70" ht="15.5" x14ac:dyDescent="0.35">
      <c r="B35" s="42">
        <f t="shared" si="0"/>
        <v>0.79999999999999993</v>
      </c>
      <c r="C35" s="26">
        <v>0.42918189412634999</v>
      </c>
      <c r="D35" s="60"/>
      <c r="E35" s="60"/>
      <c r="F35" s="60"/>
      <c r="G35" s="60"/>
      <c r="H35" s="60"/>
      <c r="I35" s="60"/>
      <c r="J35" s="60"/>
      <c r="K35" s="60"/>
      <c r="P35" s="60"/>
      <c r="Q35" s="60"/>
      <c r="R35" s="6" t="s">
        <v>7</v>
      </c>
      <c r="S35" s="20">
        <v>0.19109489942337862</v>
      </c>
      <c r="T35" s="23">
        <v>3.3409441659761653E-6</v>
      </c>
      <c r="U35" s="65"/>
      <c r="V35" s="65"/>
      <c r="W35" s="65"/>
      <c r="X35" s="65"/>
      <c r="Y35" s="65"/>
      <c r="AA35" s="6" t="s">
        <v>7</v>
      </c>
      <c r="AB35" s="20">
        <v>0.19109489942337862</v>
      </c>
      <c r="AC35" s="23">
        <v>2.5150094782069171E-2</v>
      </c>
      <c r="AD35" s="65"/>
      <c r="AE35" s="65"/>
      <c r="AF35" s="65"/>
      <c r="AG35" s="65"/>
      <c r="AH35" s="65"/>
      <c r="AJ35" s="6" t="s">
        <v>7</v>
      </c>
      <c r="AK35" s="20">
        <v>0.19109489942337862</v>
      </c>
      <c r="AL35" s="23">
        <v>5.3121340453804469E-2</v>
      </c>
      <c r="AM35" s="65"/>
      <c r="AN35" s="65"/>
      <c r="AO35" s="65"/>
      <c r="AP35" s="65"/>
      <c r="AQ35" s="65"/>
      <c r="AS35" s="6" t="s">
        <v>7</v>
      </c>
      <c r="AT35" s="20">
        <v>0.19109489942337862</v>
      </c>
      <c r="AU35" s="23">
        <v>0.10909591922101318</v>
      </c>
      <c r="AV35" s="65"/>
      <c r="AW35" s="65"/>
      <c r="AX35" s="65"/>
      <c r="AY35" s="65"/>
      <c r="AZ35" s="65"/>
      <c r="BB35" s="6" t="s">
        <v>7</v>
      </c>
      <c r="BC35" s="20">
        <v>0.19109489942337862</v>
      </c>
      <c r="BD35" s="23">
        <v>0.16505081615706202</v>
      </c>
      <c r="BE35" s="65"/>
      <c r="BF35" s="65"/>
      <c r="BG35" s="65"/>
      <c r="BH35" s="65"/>
      <c r="BI35" s="65"/>
      <c r="BK35" s="6" t="s">
        <v>7</v>
      </c>
      <c r="BL35" s="20">
        <v>0.19109489942337862</v>
      </c>
      <c r="BM35" s="23">
        <v>0.22101410046537978</v>
      </c>
      <c r="BN35" s="65"/>
      <c r="BO35" s="65"/>
      <c r="BP35" s="65"/>
      <c r="BQ35" s="65"/>
      <c r="BR35" s="65"/>
    </row>
    <row r="36" spans="2:70" ht="15.5" x14ac:dyDescent="0.35">
      <c r="B36" s="42">
        <f t="shared" si="0"/>
        <v>0.89999999999999991</v>
      </c>
      <c r="C36" s="26">
        <v>0.48316701505102533</v>
      </c>
      <c r="D36" s="60"/>
      <c r="E36" s="60"/>
      <c r="F36" s="60"/>
      <c r="G36" s="60"/>
      <c r="H36" s="60"/>
      <c r="I36" s="60"/>
      <c r="J36" s="60"/>
      <c r="K36" s="60"/>
      <c r="P36" s="60"/>
      <c r="Q36" s="60"/>
      <c r="R36" s="6" t="s">
        <v>8</v>
      </c>
      <c r="S36" s="20">
        <v>-3.7197964699965641E-2</v>
      </c>
      <c r="T36" s="23">
        <v>4.6936974823631855E-7</v>
      </c>
      <c r="U36" s="65"/>
      <c r="V36" s="65"/>
      <c r="W36" s="65"/>
      <c r="X36" s="65"/>
      <c r="Y36" s="65"/>
      <c r="AA36" s="6" t="s">
        <v>8</v>
      </c>
      <c r="AB36" s="20">
        <v>-3.7197964699965641E-2</v>
      </c>
      <c r="AC36" s="23">
        <v>-4.4269296279818751E-2</v>
      </c>
      <c r="AD36" s="65"/>
      <c r="AE36" s="65"/>
      <c r="AF36" s="65"/>
      <c r="AG36" s="65"/>
      <c r="AH36" s="65"/>
      <c r="AJ36" s="6" t="s">
        <v>8</v>
      </c>
      <c r="AK36" s="20">
        <v>-3.7197964699965641E-2</v>
      </c>
      <c r="AL36" s="23">
        <v>-9.3357500422005635E-2</v>
      </c>
      <c r="AM36" s="65"/>
      <c r="AN36" s="65"/>
      <c r="AO36" s="65"/>
      <c r="AP36" s="65"/>
      <c r="AQ36" s="65"/>
      <c r="AS36" s="6" t="s">
        <v>8</v>
      </c>
      <c r="AT36" s="20">
        <v>-3.7197964699965641E-2</v>
      </c>
      <c r="AU36" s="23">
        <v>-0.19161211839129863</v>
      </c>
      <c r="AV36" s="65"/>
      <c r="AW36" s="65"/>
      <c r="AX36" s="65"/>
      <c r="AY36" s="65"/>
      <c r="AZ36" s="65"/>
      <c r="BB36" s="6" t="s">
        <v>8</v>
      </c>
      <c r="BC36" s="20">
        <v>-3.7197964699965641E-2</v>
      </c>
      <c r="BD36" s="23">
        <v>-0.28986883360903742</v>
      </c>
      <c r="BE36" s="65"/>
      <c r="BF36" s="65"/>
      <c r="BG36" s="65"/>
      <c r="BH36" s="65"/>
      <c r="BI36" s="65"/>
      <c r="BK36" s="6" t="s">
        <v>8</v>
      </c>
      <c r="BL36" s="20">
        <v>-3.7197964699965641E-2</v>
      </c>
      <c r="BM36" s="23">
        <v>-0.38812232699205318</v>
      </c>
      <c r="BN36" s="65"/>
      <c r="BO36" s="65"/>
      <c r="BP36" s="65"/>
      <c r="BQ36" s="65"/>
      <c r="BR36" s="65"/>
    </row>
    <row r="37" spans="2:70" ht="15.5" x14ac:dyDescent="0.35">
      <c r="B37" s="42">
        <f t="shared" si="0"/>
        <v>0.99999999999999989</v>
      </c>
      <c r="C37" s="26">
        <v>0.53715213409768714</v>
      </c>
      <c r="D37" s="60"/>
      <c r="E37" s="60"/>
      <c r="F37" s="60"/>
      <c r="G37" s="60"/>
      <c r="H37" s="60"/>
      <c r="I37" s="60"/>
      <c r="J37" s="60"/>
      <c r="K37" s="60"/>
      <c r="P37" s="60"/>
      <c r="Q37" s="60"/>
      <c r="R37" s="6" t="s">
        <v>9</v>
      </c>
      <c r="S37" s="20">
        <v>0.15975950333029129</v>
      </c>
      <c r="T37" s="23">
        <v>2.0975930431157931E-6</v>
      </c>
      <c r="U37" s="65"/>
      <c r="V37" s="65"/>
      <c r="W37" s="65"/>
      <c r="X37" s="65"/>
      <c r="Y37" s="65"/>
      <c r="AA37" s="6" t="s">
        <v>9</v>
      </c>
      <c r="AB37" s="20">
        <v>0.15975950333029129</v>
      </c>
      <c r="AC37" s="23">
        <v>-3.4671220901877055E-2</v>
      </c>
      <c r="AD37" s="65"/>
      <c r="AE37" s="65"/>
      <c r="AF37" s="65"/>
      <c r="AG37" s="65"/>
      <c r="AH37" s="65"/>
      <c r="AJ37" s="6" t="s">
        <v>9</v>
      </c>
      <c r="AK37" s="20">
        <v>0.15975950333029129</v>
      </c>
      <c r="AL37" s="23">
        <v>-7.3156522779989852E-2</v>
      </c>
      <c r="AM37" s="65"/>
      <c r="AN37" s="65"/>
      <c r="AO37" s="65"/>
      <c r="AP37" s="65"/>
      <c r="AQ37" s="65"/>
      <c r="AS37" s="6" t="s">
        <v>9</v>
      </c>
      <c r="AT37" s="20">
        <v>0.15975950333029129</v>
      </c>
      <c r="AU37" s="23">
        <v>-0.15022124553422544</v>
      </c>
      <c r="AV37" s="65"/>
      <c r="AW37" s="65"/>
      <c r="AX37" s="65"/>
      <c r="AY37" s="65"/>
      <c r="AZ37" s="65"/>
      <c r="BB37" s="6" t="s">
        <v>9</v>
      </c>
      <c r="BC37" s="20">
        <v>0.15975950333029129</v>
      </c>
      <c r="BD37" s="23">
        <v>-0.22727136534355877</v>
      </c>
      <c r="BE37" s="65"/>
      <c r="BF37" s="65"/>
      <c r="BG37" s="65"/>
      <c r="BH37" s="65"/>
      <c r="BI37" s="65"/>
      <c r="BK37" s="6" t="s">
        <v>9</v>
      </c>
      <c r="BL37" s="20">
        <v>0.15975950333029129</v>
      </c>
      <c r="BM37" s="23">
        <v>-0.30432906498966478</v>
      </c>
      <c r="BN37" s="65"/>
      <c r="BO37" s="65"/>
      <c r="BP37" s="65"/>
      <c r="BQ37" s="65"/>
      <c r="BR37" s="65"/>
    </row>
    <row r="38" spans="2:70" ht="15.5" x14ac:dyDescent="0.35">
      <c r="B38" s="42">
        <f t="shared" si="0"/>
        <v>1.0999999999999999</v>
      </c>
      <c r="C38" s="26">
        <v>0.59113726143487655</v>
      </c>
      <c r="D38" s="60"/>
      <c r="E38" s="60"/>
      <c r="F38" s="60"/>
      <c r="G38" s="60"/>
      <c r="H38" s="60"/>
      <c r="I38" s="60"/>
      <c r="J38" s="60"/>
      <c r="K38" s="60"/>
      <c r="P38" s="60"/>
      <c r="Q38" s="60"/>
      <c r="R38" s="6" t="s">
        <v>10</v>
      </c>
      <c r="S38" s="20">
        <v>0.1096751689273163</v>
      </c>
      <c r="T38" s="23">
        <v>1.0756315295207565E-6</v>
      </c>
      <c r="U38" s="65"/>
      <c r="V38" s="65"/>
      <c r="W38" s="65"/>
      <c r="X38" s="65"/>
      <c r="Y38" s="65"/>
      <c r="AA38" s="6" t="s">
        <v>10</v>
      </c>
      <c r="AB38" s="20">
        <v>0.1096751689273163</v>
      </c>
      <c r="AC38" s="23">
        <v>4.7954150946375826E-2</v>
      </c>
      <c r="AD38" s="65"/>
      <c r="AE38" s="65"/>
      <c r="AF38" s="65"/>
      <c r="AG38" s="65"/>
      <c r="AH38" s="65"/>
      <c r="AJ38" s="6" t="s">
        <v>10</v>
      </c>
      <c r="AK38" s="20">
        <v>0.1096751689273163</v>
      </c>
      <c r="AL38" s="23">
        <v>0.10099978995519675</v>
      </c>
      <c r="AM38" s="65"/>
      <c r="AN38" s="65"/>
      <c r="AO38" s="65"/>
      <c r="AP38" s="65"/>
      <c r="AQ38" s="65"/>
      <c r="AS38" s="6" t="s">
        <v>10</v>
      </c>
      <c r="AT38" s="20">
        <v>0.1096751689273163</v>
      </c>
      <c r="AU38" s="23">
        <v>0.2073692779240271</v>
      </c>
      <c r="AV38" s="65"/>
      <c r="AW38" s="65"/>
      <c r="AX38" s="65"/>
      <c r="AY38" s="65"/>
      <c r="AZ38" s="65"/>
      <c r="BB38" s="6" t="s">
        <v>10</v>
      </c>
      <c r="BC38" s="20">
        <v>0.1096751689273163</v>
      </c>
      <c r="BD38" s="23">
        <v>0.31370836949174846</v>
      </c>
      <c r="BE38" s="65"/>
      <c r="BF38" s="65"/>
      <c r="BG38" s="65"/>
      <c r="BH38" s="65"/>
      <c r="BI38" s="65"/>
      <c r="BK38" s="6" t="s">
        <v>10</v>
      </c>
      <c r="BL38" s="20">
        <v>0.1096751689273163</v>
      </c>
      <c r="BM38" s="23">
        <v>0.42004556978844992</v>
      </c>
      <c r="BN38" s="65"/>
      <c r="BO38" s="65"/>
      <c r="BP38" s="65"/>
      <c r="BQ38" s="65"/>
      <c r="BR38" s="65"/>
    </row>
    <row r="39" spans="2:70" ht="15.5" x14ac:dyDescent="0.35">
      <c r="B39" s="42">
        <f t="shared" si="0"/>
        <v>1.2</v>
      </c>
      <c r="C39" s="26">
        <v>0.64512237234193492</v>
      </c>
      <c r="D39" s="60"/>
      <c r="E39" s="60"/>
      <c r="F39" s="60"/>
      <c r="G39" s="60"/>
      <c r="H39" s="60"/>
      <c r="I39" s="60"/>
      <c r="J39" s="60"/>
      <c r="K39" s="60"/>
      <c r="P39" s="60"/>
      <c r="Q39" s="60"/>
      <c r="R39" s="6" t="s">
        <v>11</v>
      </c>
      <c r="S39" s="20">
        <v>0.3668735385715004</v>
      </c>
      <c r="T39" s="23">
        <v>-1.4449666933673117E-6</v>
      </c>
      <c r="U39" s="65"/>
      <c r="V39" s="65"/>
      <c r="W39" s="65" t="s">
        <v>61</v>
      </c>
      <c r="X39" s="65"/>
      <c r="Y39" s="65"/>
      <c r="AA39" s="6" t="s">
        <v>11</v>
      </c>
      <c r="AB39" s="20">
        <v>0.3668735385715004</v>
      </c>
      <c r="AC39" s="23">
        <v>9.5107755480465433E-2</v>
      </c>
      <c r="AD39" s="65"/>
      <c r="AE39" s="65"/>
      <c r="AF39" s="65" t="s">
        <v>61</v>
      </c>
      <c r="AG39" s="65"/>
      <c r="AH39" s="65"/>
      <c r="AJ39" s="6" t="s">
        <v>11</v>
      </c>
      <c r="AK39" s="20">
        <v>0.3668735385715004</v>
      </c>
      <c r="AL39" s="23">
        <v>0.20079189892049756</v>
      </c>
      <c r="AM39" s="65"/>
      <c r="AN39" s="65"/>
      <c r="AO39" s="65" t="s">
        <v>61</v>
      </c>
      <c r="AP39" s="65"/>
      <c r="AQ39" s="65"/>
      <c r="AS39" s="6" t="s">
        <v>11</v>
      </c>
      <c r="AT39" s="20">
        <v>0.3668735385715004</v>
      </c>
      <c r="AU39" s="23">
        <v>0.41218288146483584</v>
      </c>
      <c r="AV39" s="65"/>
      <c r="AW39" s="65"/>
      <c r="AX39" s="65" t="s">
        <v>61</v>
      </c>
      <c r="AY39" s="65"/>
      <c r="AZ39" s="65"/>
      <c r="BB39" s="6" t="s">
        <v>11</v>
      </c>
      <c r="BC39" s="20">
        <v>0.3668735385715004</v>
      </c>
      <c r="BD39" s="23">
        <v>0.62356069242240686</v>
      </c>
      <c r="BE39" s="65"/>
      <c r="BF39" s="65"/>
      <c r="BG39" s="65" t="s">
        <v>61</v>
      </c>
      <c r="BH39" s="65"/>
      <c r="BI39" s="65"/>
      <c r="BK39" s="6" t="s">
        <v>11</v>
      </c>
      <c r="BL39" s="20">
        <v>0.3668735385715004</v>
      </c>
      <c r="BM39" s="23">
        <v>0.83493566893309068</v>
      </c>
      <c r="BN39" s="65"/>
      <c r="BO39" s="65"/>
      <c r="BP39" s="65" t="s">
        <v>61</v>
      </c>
      <c r="BQ39" s="65"/>
      <c r="BR39" s="65"/>
    </row>
    <row r="40" spans="2:70" ht="16" thickBot="1" x14ac:dyDescent="0.4">
      <c r="B40" s="42">
        <f t="shared" si="0"/>
        <v>1.3</v>
      </c>
      <c r="C40" s="26">
        <v>0.6991074892563065</v>
      </c>
      <c r="D40" s="60"/>
      <c r="E40" s="60"/>
      <c r="F40" s="60"/>
      <c r="G40" s="60"/>
      <c r="H40" s="60"/>
      <c r="I40" s="60"/>
      <c r="J40" s="60"/>
      <c r="K40" s="60"/>
      <c r="P40" s="60"/>
      <c r="Q40" s="60"/>
      <c r="R40" s="6" t="s">
        <v>12</v>
      </c>
      <c r="S40" s="21">
        <v>0.20708722422129289</v>
      </c>
      <c r="T40" s="24">
        <v>-3.260978386097191E-6</v>
      </c>
      <c r="U40" s="65"/>
      <c r="V40" s="65"/>
      <c r="W40" s="65"/>
      <c r="X40" s="65"/>
      <c r="Y40" s="65"/>
      <c r="AA40" s="6" t="s">
        <v>12</v>
      </c>
      <c r="AB40" s="21">
        <v>0.20708722422129289</v>
      </c>
      <c r="AC40" s="24">
        <v>3.1578714577636856E-2</v>
      </c>
      <c r="AD40" s="65"/>
      <c r="AE40" s="65"/>
      <c r="AF40" s="65"/>
      <c r="AG40" s="65"/>
      <c r="AH40" s="65"/>
      <c r="AJ40" s="6" t="s">
        <v>12</v>
      </c>
      <c r="AK40" s="21">
        <v>0.20708722422129289</v>
      </c>
      <c r="AL40" s="24">
        <v>6.6533834588942478E-2</v>
      </c>
      <c r="AM40" s="65"/>
      <c r="AN40" s="65"/>
      <c r="AO40" s="65"/>
      <c r="AP40" s="65"/>
      <c r="AQ40" s="65"/>
      <c r="AS40" s="6" t="s">
        <v>12</v>
      </c>
      <c r="AT40" s="21">
        <v>0.20708722422129289</v>
      </c>
      <c r="AU40" s="24">
        <v>0.13659246903604758</v>
      </c>
      <c r="AV40" s="65"/>
      <c r="AW40" s="65"/>
      <c r="AX40" s="65"/>
      <c r="AY40" s="65"/>
      <c r="AZ40" s="65"/>
      <c r="BB40" s="6" t="s">
        <v>12</v>
      </c>
      <c r="BC40" s="21">
        <v>0.20708722422129289</v>
      </c>
      <c r="BD40" s="24">
        <v>0.20663612765703199</v>
      </c>
      <c r="BE40" s="65"/>
      <c r="BF40" s="65"/>
      <c r="BG40" s="65"/>
      <c r="BH40" s="65"/>
      <c r="BI40" s="65"/>
      <c r="BK40" s="6" t="s">
        <v>12</v>
      </c>
      <c r="BL40" s="21">
        <v>0.20708722422129289</v>
      </c>
      <c r="BM40" s="24">
        <v>0.2766763640596489</v>
      </c>
      <c r="BN40" s="65"/>
      <c r="BO40" s="65"/>
      <c r="BP40" s="65"/>
      <c r="BQ40" s="65"/>
      <c r="BR40" s="65"/>
    </row>
    <row r="41" spans="2:70" ht="16" thickBot="1" x14ac:dyDescent="0.4">
      <c r="B41" s="42">
        <f t="shared" si="0"/>
        <v>1.4000000000000001</v>
      </c>
      <c r="C41" s="26">
        <v>0.7530926151774836</v>
      </c>
      <c r="D41" s="60"/>
      <c r="E41" s="60"/>
      <c r="F41" s="60"/>
      <c r="G41" s="60"/>
      <c r="H41" s="60"/>
      <c r="I41" s="60"/>
      <c r="J41" s="60"/>
      <c r="K41" s="60"/>
      <c r="P41" s="60"/>
      <c r="Q41" s="60"/>
      <c r="R41" s="43" t="s">
        <v>53</v>
      </c>
      <c r="S41" s="44">
        <v>5.0000000000000001E-3</v>
      </c>
      <c r="T41" s="45">
        <v>0.99999955212429215</v>
      </c>
      <c r="U41" s="65"/>
      <c r="V41" s="65"/>
      <c r="W41" s="65"/>
      <c r="X41" s="65"/>
      <c r="Y41" s="65"/>
      <c r="AA41" s="43" t="s">
        <v>53</v>
      </c>
      <c r="AB41" s="44">
        <v>5.0000000000000001E-3</v>
      </c>
      <c r="AC41" s="45">
        <v>0.96527202049357919</v>
      </c>
      <c r="AD41" s="65"/>
      <c r="AE41" s="65"/>
      <c r="AF41" s="65"/>
      <c r="AG41" s="65"/>
      <c r="AH41" s="65"/>
      <c r="AJ41" s="43" t="s">
        <v>53</v>
      </c>
      <c r="AK41" s="44">
        <v>5.0000000000000001E-3</v>
      </c>
      <c r="AL41" s="45">
        <v>0.92657271909795413</v>
      </c>
      <c r="AM41" s="65"/>
      <c r="AN41" s="65"/>
      <c r="AO41" s="65"/>
      <c r="AP41" s="65"/>
      <c r="AQ41" s="65"/>
      <c r="AS41" s="43" t="s">
        <v>53</v>
      </c>
      <c r="AT41" s="44">
        <v>5.0000000000000001E-3</v>
      </c>
      <c r="AU41" s="45">
        <v>0.84926449332259468</v>
      </c>
      <c r="AV41" s="65"/>
      <c r="AW41" s="65"/>
      <c r="AX41" s="65"/>
      <c r="AY41" s="65"/>
      <c r="AZ41" s="65"/>
      <c r="BB41" s="43" t="s">
        <v>53</v>
      </c>
      <c r="BC41" s="44">
        <v>5.0000000000000001E-3</v>
      </c>
      <c r="BD41" s="45">
        <v>0.77195964057354582</v>
      </c>
      <c r="BE41" s="65"/>
      <c r="BF41" s="65"/>
      <c r="BG41" s="65"/>
      <c r="BH41" s="65"/>
      <c r="BI41" s="65"/>
      <c r="BK41" s="43" t="s">
        <v>53</v>
      </c>
      <c r="BL41" s="44">
        <v>5.0000000000000001E-3</v>
      </c>
      <c r="BM41" s="45">
        <v>0.69464738523672531</v>
      </c>
      <c r="BN41" s="65"/>
      <c r="BO41" s="65"/>
      <c r="BP41" s="65"/>
      <c r="BQ41" s="65"/>
      <c r="BR41" s="65"/>
    </row>
    <row r="42" spans="2:70" x14ac:dyDescent="0.35">
      <c r="B42" s="42">
        <f t="shared" si="0"/>
        <v>1.5000000000000002</v>
      </c>
      <c r="C42" s="26">
        <v>0.80707773987650977</v>
      </c>
      <c r="D42" s="60"/>
      <c r="E42" s="60"/>
      <c r="F42" s="60"/>
      <c r="G42" s="60"/>
      <c r="H42" s="60"/>
      <c r="I42" s="60"/>
      <c r="J42" s="60"/>
      <c r="K42" s="60"/>
      <c r="P42" s="60"/>
      <c r="Q42" s="60"/>
      <c r="R42" s="60"/>
      <c r="S42" s="60"/>
      <c r="T42" s="60"/>
      <c r="U42" s="60"/>
      <c r="V42" s="60"/>
    </row>
    <row r="43" spans="2:70" x14ac:dyDescent="0.35">
      <c r="B43" s="42">
        <f>B42+10%</f>
        <v>1.6000000000000003</v>
      </c>
      <c r="C43" s="26">
        <v>0.86106286581241831</v>
      </c>
      <c r="D43" s="60"/>
      <c r="E43" s="60"/>
      <c r="F43" s="60"/>
      <c r="G43" s="60"/>
      <c r="H43" s="60"/>
      <c r="I43" s="60"/>
      <c r="J43" s="60"/>
      <c r="K43" s="60"/>
      <c r="P43" s="60"/>
      <c r="Q43" s="60"/>
      <c r="R43" s="60"/>
      <c r="S43" s="60"/>
      <c r="T43" s="60"/>
      <c r="U43" s="60"/>
      <c r="V43" s="60"/>
    </row>
    <row r="44" spans="2:70" x14ac:dyDescent="0.35">
      <c r="B44" s="42">
        <f t="shared" si="0"/>
        <v>1.7000000000000004</v>
      </c>
      <c r="C44" s="26">
        <v>0.91504799228904643</v>
      </c>
      <c r="D44" s="60"/>
      <c r="P44" s="60"/>
      <c r="AO44" s="65"/>
    </row>
    <row r="45" spans="2:70" x14ac:dyDescent="0.35">
      <c r="B45" s="42">
        <f>B44+10%</f>
        <v>1.8000000000000005</v>
      </c>
      <c r="C45" s="26">
        <v>0.96903312918124973</v>
      </c>
      <c r="D45" s="60"/>
      <c r="P45" s="60"/>
      <c r="AO45" s="65"/>
    </row>
    <row r="46" spans="2:70" x14ac:dyDescent="0.35">
      <c r="B46" s="42">
        <f>B45+10%</f>
        <v>1.9000000000000006</v>
      </c>
      <c r="C46" s="26">
        <v>1.0230205936850576</v>
      </c>
      <c r="D46" s="60"/>
      <c r="P46" s="60"/>
      <c r="AO46" s="65"/>
    </row>
    <row r="47" spans="2:70" x14ac:dyDescent="0.35">
      <c r="B47" s="42">
        <f>B46+10%</f>
        <v>2.0000000000000004</v>
      </c>
      <c r="C47" s="26">
        <v>1.0770059172661739</v>
      </c>
      <c r="D47" s="60"/>
      <c r="P47" s="60"/>
      <c r="AO47" s="65"/>
    </row>
    <row r="48" spans="2:70" x14ac:dyDescent="0.35">
      <c r="B48" s="42">
        <f>B47+10%</f>
        <v>2.1000000000000005</v>
      </c>
      <c r="C48" s="26">
        <v>1.1309909601612842</v>
      </c>
      <c r="D48" s="60"/>
      <c r="P48" s="60"/>
      <c r="Y48" s="65"/>
      <c r="Z48" s="65"/>
      <c r="AA48" s="65"/>
      <c r="AB48" s="65"/>
      <c r="AC48" s="65"/>
      <c r="AD48" s="65"/>
      <c r="AE48" s="65"/>
      <c r="AF48" s="65"/>
      <c r="AO48" s="65"/>
    </row>
    <row r="49" spans="2:41" x14ac:dyDescent="0.35">
      <c r="B49" s="42">
        <f t="shared" ref="B49" si="1">B48+10%</f>
        <v>2.2000000000000006</v>
      </c>
      <c r="C49" s="26">
        <v>1.1849736457526181</v>
      </c>
      <c r="D49" s="60"/>
      <c r="P49" s="60"/>
      <c r="X49" s="65"/>
      <c r="Y49" s="65"/>
      <c r="Z49" s="65"/>
      <c r="AA49" s="65"/>
      <c r="AB49" s="65"/>
      <c r="AC49" s="65"/>
      <c r="AD49" s="65"/>
      <c r="AE49" s="65"/>
      <c r="AF49" s="65"/>
      <c r="AO49" s="65"/>
    </row>
    <row r="50" spans="2:41" x14ac:dyDescent="0.35">
      <c r="B50" s="60"/>
      <c r="C50" s="60"/>
      <c r="D50" s="60"/>
      <c r="P50" s="60"/>
      <c r="X50" s="65"/>
      <c r="Y50" s="65"/>
      <c r="Z50" s="65"/>
      <c r="AA50" s="65"/>
      <c r="AB50" s="65"/>
      <c r="AC50" s="65"/>
      <c r="AD50" s="65"/>
      <c r="AE50" s="65"/>
      <c r="AF50" s="65"/>
      <c r="AO50" s="65"/>
    </row>
    <row r="51" spans="2:41" x14ac:dyDescent="0.35">
      <c r="B51" s="60"/>
      <c r="C51" s="60"/>
      <c r="D51" s="60"/>
      <c r="P51" s="60"/>
      <c r="X51" s="65"/>
      <c r="Y51" s="65"/>
      <c r="Z51" s="65"/>
      <c r="AA51" s="65"/>
      <c r="AB51" s="65"/>
      <c r="AC51" s="65"/>
      <c r="AD51" s="65"/>
      <c r="AE51" s="65"/>
      <c r="AF51" s="65"/>
      <c r="AO51" s="65"/>
    </row>
    <row r="52" spans="2:41" x14ac:dyDescent="0.35">
      <c r="B52" s="60"/>
      <c r="C52" s="60"/>
      <c r="D52" s="60"/>
      <c r="P52" s="60"/>
      <c r="X52" s="65"/>
      <c r="Y52" s="65"/>
      <c r="Z52" s="65"/>
      <c r="AA52" s="65"/>
      <c r="AB52" s="65"/>
      <c r="AC52" s="65"/>
      <c r="AD52" s="65"/>
      <c r="AE52" s="65"/>
      <c r="AF52" s="65"/>
      <c r="AO52" s="65"/>
    </row>
    <row r="53" spans="2:41" x14ac:dyDescent="0.35">
      <c r="B53" s="60"/>
      <c r="C53" s="60"/>
      <c r="D53" s="60"/>
      <c r="P53" s="60"/>
      <c r="X53" s="65"/>
      <c r="Y53" s="65"/>
      <c r="Z53" s="65"/>
      <c r="AA53" s="65"/>
      <c r="AB53" s="65"/>
      <c r="AC53" s="65"/>
      <c r="AD53" s="65"/>
      <c r="AE53" s="65"/>
      <c r="AF53" s="65"/>
      <c r="AO53" s="65"/>
    </row>
    <row r="54" spans="2:41" x14ac:dyDescent="0.35">
      <c r="B54" s="60"/>
      <c r="C54" s="60"/>
      <c r="D54" s="60"/>
      <c r="P54" s="60"/>
      <c r="X54" s="65"/>
      <c r="Y54" s="65"/>
      <c r="Z54" s="65"/>
      <c r="AA54" s="65"/>
      <c r="AB54" s="65"/>
      <c r="AC54" s="65"/>
      <c r="AD54" s="65"/>
      <c r="AE54" s="65"/>
      <c r="AF54" s="65"/>
      <c r="AO54" s="65"/>
    </row>
    <row r="55" spans="2:41" x14ac:dyDescent="0.35">
      <c r="B55" s="60"/>
      <c r="C55" s="60"/>
      <c r="D55" s="60"/>
      <c r="P55" s="60"/>
      <c r="X55" s="65"/>
      <c r="Y55" s="65"/>
      <c r="Z55" s="65"/>
      <c r="AA55" s="65"/>
      <c r="AB55" s="65"/>
      <c r="AC55" s="65"/>
      <c r="AD55" s="65"/>
      <c r="AE55" s="65"/>
      <c r="AF55" s="65"/>
      <c r="AO55" s="65"/>
    </row>
    <row r="56" spans="2:41" x14ac:dyDescent="0.35">
      <c r="B56" s="60"/>
      <c r="C56" s="60"/>
      <c r="D56" s="60"/>
      <c r="P56" s="60"/>
      <c r="X56" s="65"/>
      <c r="Y56" s="65"/>
      <c r="Z56" s="65"/>
      <c r="AA56" s="65"/>
      <c r="AB56" s="65"/>
      <c r="AC56" s="65"/>
      <c r="AD56" s="65"/>
      <c r="AE56" s="65"/>
      <c r="AF56" s="65"/>
      <c r="AO56" s="65"/>
    </row>
    <row r="57" spans="2:41" x14ac:dyDescent="0.35">
      <c r="B57" s="60"/>
      <c r="C57" s="60"/>
      <c r="D57" s="60"/>
      <c r="X57" s="65"/>
      <c r="Y57" s="65"/>
      <c r="Z57" s="65"/>
      <c r="AA57" s="65"/>
      <c r="AB57" s="65"/>
      <c r="AC57" s="65"/>
      <c r="AD57" s="65"/>
      <c r="AE57" s="65"/>
      <c r="AF57" s="65"/>
      <c r="AO57" s="65"/>
    </row>
    <row r="58" spans="2:41" x14ac:dyDescent="0.35">
      <c r="B58" s="60"/>
      <c r="C58" s="60"/>
      <c r="D58" s="60"/>
      <c r="E58" s="60"/>
      <c r="F58" s="60"/>
      <c r="X58" s="65"/>
      <c r="Y58" s="65"/>
      <c r="Z58" s="65"/>
      <c r="AA58" s="65"/>
      <c r="AB58" s="65"/>
      <c r="AC58" s="65"/>
      <c r="AD58" s="65"/>
      <c r="AE58" s="65"/>
      <c r="AF58" s="65"/>
      <c r="AO58" s="65"/>
    </row>
    <row r="59" spans="2:41" x14ac:dyDescent="0.35">
      <c r="B59" s="60"/>
      <c r="C59" s="60"/>
      <c r="D59" s="60"/>
      <c r="E59" s="60"/>
      <c r="F59" s="60"/>
      <c r="M59" s="71" t="s">
        <v>76</v>
      </c>
      <c r="N59" s="72"/>
      <c r="O59" s="71" t="s">
        <v>78</v>
      </c>
      <c r="P59" s="72"/>
      <c r="Q59" s="65"/>
      <c r="R59" s="65"/>
      <c r="S59" s="65"/>
      <c r="T59" s="65"/>
      <c r="U59" s="65"/>
      <c r="X59" s="65"/>
      <c r="Y59" s="65"/>
      <c r="Z59" s="65"/>
      <c r="AA59" s="65"/>
      <c r="AB59" s="65"/>
      <c r="AC59" s="65"/>
      <c r="AD59" s="65"/>
      <c r="AE59" s="65"/>
      <c r="AF59" s="65"/>
      <c r="AO59" s="65"/>
    </row>
    <row r="60" spans="2:41" ht="44" thickBot="1" x14ac:dyDescent="0.4">
      <c r="B60" s="60"/>
      <c r="C60" s="60"/>
      <c r="D60" s="60"/>
      <c r="E60" s="60"/>
      <c r="F60" s="60"/>
      <c r="M60" s="65"/>
      <c r="N60" s="46" t="s">
        <v>60</v>
      </c>
      <c r="O60" s="34" t="s">
        <v>66</v>
      </c>
      <c r="P60" s="35" t="s">
        <v>32</v>
      </c>
      <c r="Q60" s="35" t="s">
        <v>67</v>
      </c>
      <c r="R60" s="35" t="s">
        <v>68</v>
      </c>
      <c r="S60" s="35" t="s">
        <v>69</v>
      </c>
      <c r="T60" s="35" t="s">
        <v>70</v>
      </c>
      <c r="U60" s="35" t="s">
        <v>71</v>
      </c>
      <c r="X60" s="65"/>
      <c r="Y60" s="65"/>
      <c r="Z60" s="65"/>
      <c r="AA60" s="65"/>
      <c r="AB60" s="65"/>
      <c r="AC60" s="65"/>
      <c r="AD60" s="65"/>
      <c r="AE60" s="65"/>
      <c r="AF60" s="65"/>
      <c r="AO60" s="65"/>
    </row>
    <row r="61" spans="2:41" ht="16" thickBot="1" x14ac:dyDescent="0.4">
      <c r="B61" s="60"/>
      <c r="C61" s="60"/>
      <c r="D61" s="60"/>
      <c r="E61" s="60"/>
      <c r="F61" s="60"/>
      <c r="M61" s="6" t="s">
        <v>1</v>
      </c>
      <c r="N61" s="20">
        <f>AVERAGE(r_BN.PA)*12</f>
        <v>8.0141008757000587E-2</v>
      </c>
      <c r="O61" s="23">
        <v>-0.36740962872133426</v>
      </c>
      <c r="P61" s="25">
        <f>SUM(O61:O72)</f>
        <v>1.0000000000000124</v>
      </c>
      <c r="Q61" s="39" cm="1">
        <f t="array" ref="Q61">MMULT(TRANSPOSE(O61:O72),N61:N72)</f>
        <v>1.2982564850780989</v>
      </c>
      <c r="R61" s="39" cm="1">
        <f t="array" ref="R61">MMULT(MMULT(TRANSPOSE(O61:O72),K9:V20),O61:O72)*12</f>
        <v>0.48743606843860926</v>
      </c>
      <c r="S61" s="39">
        <f>SQRT(R61)</f>
        <v>0.698166218345323</v>
      </c>
      <c r="T61" s="39">
        <f>Q61-B5</f>
        <v>1.293256485078099</v>
      </c>
      <c r="U61" s="69">
        <f>T61/S61</f>
        <v>1.8523618747168253</v>
      </c>
      <c r="X61" s="65"/>
      <c r="Y61" s="65"/>
      <c r="Z61" s="65"/>
      <c r="AA61" s="65"/>
      <c r="AB61" s="65"/>
      <c r="AC61" s="65"/>
      <c r="AD61" s="65"/>
      <c r="AE61" s="65"/>
      <c r="AF61" s="65"/>
      <c r="AO61" s="65"/>
    </row>
    <row r="62" spans="2:41" ht="15.5" x14ac:dyDescent="0.35">
      <c r="B62" s="60"/>
      <c r="C62" s="60"/>
      <c r="D62" s="60"/>
      <c r="E62" s="60"/>
      <c r="F62" s="60"/>
      <c r="M62" s="6" t="s">
        <v>2</v>
      </c>
      <c r="N62" s="20">
        <f>AVERAGE(r_BNP.PA)*12</f>
        <v>0.32603851869449318</v>
      </c>
      <c r="O62" s="23">
        <v>-0.48120366054007196</v>
      </c>
      <c r="P62" s="65"/>
      <c r="Q62" s="65"/>
      <c r="R62" s="65"/>
      <c r="S62" s="65"/>
      <c r="T62" s="65"/>
      <c r="U62" s="65"/>
      <c r="AO62" s="65"/>
    </row>
    <row r="63" spans="2:41" ht="15.5" x14ac:dyDescent="0.35">
      <c r="B63" s="60"/>
      <c r="C63" s="60"/>
      <c r="D63" s="60"/>
      <c r="E63" s="60"/>
      <c r="F63" s="60"/>
      <c r="M63" s="6" t="s">
        <v>3</v>
      </c>
      <c r="N63" s="20">
        <f>AVERAGE(r_CA.PA)*12</f>
        <v>4.2391280458784326E-2</v>
      </c>
      <c r="O63" s="23">
        <v>-0.72518249414379377</v>
      </c>
      <c r="P63" s="65"/>
      <c r="Q63" s="65"/>
      <c r="R63" s="65"/>
      <c r="S63" s="65"/>
      <c r="T63" s="65"/>
      <c r="U63" s="65"/>
      <c r="AO63" s="65"/>
    </row>
    <row r="64" spans="2:41" ht="15.5" x14ac:dyDescent="0.35">
      <c r="B64" s="60"/>
      <c r="C64" s="60"/>
      <c r="D64" s="60"/>
      <c r="E64" s="60"/>
      <c r="F64" s="60"/>
      <c r="M64" s="6" t="s">
        <v>4</v>
      </c>
      <c r="N64" s="20">
        <f>AVERAGE(r_CS.PA)*12</f>
        <v>0.27105391138211221</v>
      </c>
      <c r="O64" s="23">
        <v>1.9119913844624727</v>
      </c>
      <c r="P64" s="65"/>
      <c r="Q64" s="65"/>
      <c r="R64" s="65"/>
      <c r="S64" s="65"/>
      <c r="T64" s="65"/>
      <c r="U64" s="65"/>
      <c r="AO64" s="65"/>
    </row>
    <row r="65" spans="2:41" ht="15.5" x14ac:dyDescent="0.35">
      <c r="B65" s="60"/>
      <c r="C65" s="60"/>
      <c r="D65" s="60"/>
      <c r="E65" s="60"/>
      <c r="F65" s="60"/>
      <c r="M65" s="6" t="s">
        <v>5</v>
      </c>
      <c r="N65" s="20">
        <f>AVERAGE(r_DG.PA)*12</f>
        <v>0.13670020780747316</v>
      </c>
      <c r="O65" s="23">
        <v>-2.1345279244476751</v>
      </c>
      <c r="P65" s="65"/>
      <c r="Q65" s="65"/>
      <c r="R65" s="65"/>
      <c r="S65" s="65"/>
      <c r="T65" s="65"/>
      <c r="U65" s="65"/>
      <c r="AO65" s="65"/>
    </row>
    <row r="66" spans="2:41" ht="15.5" x14ac:dyDescent="0.35">
      <c r="B66" s="60"/>
      <c r="C66" s="60"/>
      <c r="D66" s="60"/>
      <c r="E66" s="60"/>
      <c r="F66" s="60"/>
      <c r="M66" s="6" t="s">
        <v>6</v>
      </c>
      <c r="N66" s="20">
        <f>AVERAGE(r_EN.PA)*12</f>
        <v>0.11676615658866349</v>
      </c>
      <c r="O66" s="23">
        <v>-0.67479255223012469</v>
      </c>
      <c r="P66" s="65"/>
      <c r="Q66" s="65"/>
      <c r="R66" s="65"/>
      <c r="S66" s="65"/>
      <c r="T66" s="65"/>
      <c r="U66" s="65"/>
      <c r="AO66" s="65"/>
    </row>
    <row r="67" spans="2:41" ht="15.5" x14ac:dyDescent="0.35">
      <c r="B67" s="60"/>
      <c r="C67" s="60"/>
      <c r="D67" s="60"/>
      <c r="E67" s="60"/>
      <c r="F67" s="60"/>
      <c r="M67" s="6" t="s">
        <v>7</v>
      </c>
      <c r="N67" s="20">
        <f>AVERAGE(r_ENGI.PA)*12</f>
        <v>0.19109489942337862</v>
      </c>
      <c r="O67" s="23">
        <v>0.72381004885135092</v>
      </c>
      <c r="P67" s="65"/>
      <c r="Q67" s="65"/>
      <c r="R67" s="65"/>
      <c r="S67" s="65"/>
      <c r="T67" s="65"/>
      <c r="U67" s="65"/>
      <c r="W67" s="65"/>
      <c r="X67" s="65"/>
      <c r="Y67" s="65"/>
      <c r="Z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</row>
    <row r="68" spans="2:41" ht="15.5" x14ac:dyDescent="0.35">
      <c r="B68" s="60"/>
      <c r="C68" s="60"/>
      <c r="D68" s="60"/>
      <c r="E68" s="60"/>
      <c r="F68" s="60"/>
      <c r="M68" s="6" t="s">
        <v>8</v>
      </c>
      <c r="N68" s="20">
        <f>AVERAGE(r_KER.PA)*12</f>
        <v>-3.7197964699965641E-2</v>
      </c>
      <c r="O68" s="23">
        <v>-1.2706329637114955</v>
      </c>
      <c r="P68" s="65"/>
      <c r="Q68" s="65"/>
      <c r="R68" s="65"/>
      <c r="S68" s="65"/>
      <c r="T68" s="65"/>
      <c r="U68" s="65"/>
      <c r="W68" s="65"/>
      <c r="X68" s="65"/>
      <c r="Y68" s="65"/>
      <c r="Z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</row>
    <row r="69" spans="2:41" ht="15.5" x14ac:dyDescent="0.35">
      <c r="B69" s="60"/>
      <c r="C69" s="60"/>
      <c r="D69" s="60"/>
      <c r="E69" s="60"/>
      <c r="F69" s="60"/>
      <c r="M69" s="6" t="s">
        <v>9</v>
      </c>
      <c r="N69" s="20">
        <f>AVERAGE(r_ML.PA)*12</f>
        <v>0.15975950333029129</v>
      </c>
      <c r="O69" s="23">
        <v>-0.99674165854552188</v>
      </c>
      <c r="P69" s="65"/>
      <c r="Q69" s="65"/>
      <c r="R69" s="65"/>
      <c r="S69" s="65"/>
      <c r="T69" s="65"/>
      <c r="U69" s="65"/>
      <c r="W69" s="65"/>
      <c r="X69" s="65"/>
      <c r="Y69" s="65"/>
      <c r="Z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</row>
    <row r="70" spans="2:41" ht="15.5" x14ac:dyDescent="0.35">
      <c r="B70" s="60"/>
      <c r="C70" s="60"/>
      <c r="D70" s="60"/>
      <c r="E70" s="60"/>
      <c r="F70" s="60"/>
      <c r="M70" s="6" t="s">
        <v>10</v>
      </c>
      <c r="N70" s="20">
        <f>AVERAGE(r_OR.PA)*12</f>
        <v>0.1096751689273163</v>
      </c>
      <c r="O70" s="23">
        <v>1.3752041916364879</v>
      </c>
      <c r="P70" s="65"/>
      <c r="Q70" s="65"/>
      <c r="R70" s="65"/>
      <c r="S70" s="65"/>
      <c r="T70" s="65"/>
      <c r="U70" s="65"/>
      <c r="W70" s="65"/>
      <c r="X70" s="65"/>
      <c r="Y70" s="65"/>
      <c r="Z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</row>
    <row r="71" spans="2:41" ht="15.5" x14ac:dyDescent="0.35">
      <c r="B71" s="60"/>
      <c r="C71" s="60"/>
      <c r="D71" s="60"/>
      <c r="E71" s="60"/>
      <c r="F71" s="60"/>
      <c r="G71" s="60"/>
      <c r="H71" s="60"/>
      <c r="I71" s="60"/>
      <c r="J71" s="60"/>
      <c r="M71" s="6" t="s">
        <v>11</v>
      </c>
      <c r="N71" s="20">
        <f>AVERAGE(r_SGO.PA)*12</f>
        <v>0.3668735385715004</v>
      </c>
      <c r="O71" s="23">
        <v>2.7336817974231824</v>
      </c>
      <c r="P71" s="65"/>
      <c r="Q71" s="65"/>
      <c r="R71" s="65"/>
      <c r="S71" s="65"/>
      <c r="T71" s="65"/>
      <c r="U71" s="65"/>
      <c r="W71" s="65"/>
      <c r="X71" s="65"/>
      <c r="Y71" s="65"/>
      <c r="Z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</row>
    <row r="72" spans="2:41" ht="16" thickBot="1" x14ac:dyDescent="0.4">
      <c r="B72" s="60"/>
      <c r="C72" s="60"/>
      <c r="D72" s="60"/>
      <c r="E72" s="60"/>
      <c r="F72" s="60"/>
      <c r="G72" s="60"/>
      <c r="H72" s="60"/>
      <c r="I72" s="60"/>
      <c r="J72" s="60"/>
      <c r="M72" s="6" t="s">
        <v>12</v>
      </c>
      <c r="N72" s="21">
        <f>AVERAGE(r_TTE.PA)*12</f>
        <v>0.20708722422129289</v>
      </c>
      <c r="O72" s="24">
        <v>0.90580345996653577</v>
      </c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</row>
    <row r="73" spans="2:41" x14ac:dyDescent="0.35">
      <c r="B73" s="60"/>
      <c r="C73" s="60"/>
      <c r="D73" s="60"/>
      <c r="E73" s="60"/>
      <c r="F73" s="60"/>
      <c r="G73" s="60"/>
      <c r="H73" s="60"/>
      <c r="I73" s="60"/>
      <c r="J73" s="60"/>
      <c r="T73" s="65"/>
      <c r="U73" s="65"/>
      <c r="V73" s="65"/>
      <c r="W73" s="65"/>
      <c r="X73" s="65"/>
      <c r="Y73" s="65"/>
      <c r="Z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</row>
    <row r="74" spans="2:41" x14ac:dyDescent="0.35">
      <c r="B74" s="60"/>
      <c r="C74" s="60"/>
      <c r="D74" s="60"/>
      <c r="E74" s="60"/>
      <c r="F74" s="60"/>
      <c r="G74" s="60"/>
      <c r="H74" s="60"/>
      <c r="I74" s="60"/>
      <c r="J74" s="60"/>
      <c r="T74" s="65"/>
      <c r="U74" s="65"/>
      <c r="V74" s="65"/>
      <c r="W74" s="65"/>
      <c r="X74" s="65"/>
      <c r="Y74" s="65"/>
      <c r="Z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</row>
    <row r="75" spans="2:41" x14ac:dyDescent="0.35">
      <c r="B75" s="60"/>
      <c r="C75" s="60"/>
      <c r="D75" s="60"/>
      <c r="E75" s="60"/>
      <c r="F75" s="60"/>
      <c r="G75" s="60"/>
      <c r="H75" s="60"/>
      <c r="I75" s="60"/>
      <c r="J75" s="60"/>
      <c r="T75" s="65"/>
      <c r="U75" s="65"/>
      <c r="V75" s="65"/>
      <c r="W75" s="65"/>
      <c r="X75" s="65"/>
      <c r="Y75" s="65"/>
      <c r="Z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</row>
    <row r="76" spans="2:41" x14ac:dyDescent="0.35">
      <c r="B76" s="60"/>
      <c r="C76" s="60"/>
      <c r="D76" s="60"/>
      <c r="E76" s="60"/>
      <c r="F76" s="60"/>
      <c r="G76" s="60"/>
      <c r="H76" s="60"/>
      <c r="I76" s="60"/>
      <c r="J76" s="60"/>
      <c r="T76" s="60"/>
      <c r="U76" s="60"/>
      <c r="V76" s="60"/>
    </row>
    <row r="77" spans="2:41" x14ac:dyDescent="0.35"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O77" s="60"/>
      <c r="P77" s="60"/>
      <c r="Q77" s="60"/>
      <c r="R77" s="60"/>
      <c r="S77" s="60"/>
      <c r="T77" s="60"/>
      <c r="U77" s="60"/>
      <c r="V77" s="60"/>
    </row>
    <row r="78" spans="2:41" x14ac:dyDescent="0.35"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O78" s="60"/>
      <c r="P78" s="60"/>
      <c r="Q78" s="60"/>
      <c r="R78" s="60"/>
      <c r="S78" s="60"/>
      <c r="T78" s="60"/>
      <c r="U78" s="60"/>
      <c r="V78" s="60"/>
    </row>
    <row r="79" spans="2:41" x14ac:dyDescent="0.35"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O79" s="60"/>
      <c r="P79" s="60"/>
      <c r="Q79" s="60"/>
      <c r="R79" s="60"/>
      <c r="S79" s="60"/>
      <c r="T79" s="60"/>
      <c r="U79" s="60"/>
      <c r="V79" s="60"/>
    </row>
    <row r="80" spans="2:41" ht="15.5" x14ac:dyDescent="0.35"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86" t="s">
        <v>76</v>
      </c>
      <c r="N80" s="87"/>
      <c r="O80" s="88" t="s">
        <v>77</v>
      </c>
      <c r="P80" s="89"/>
      <c r="Q80" s="65"/>
      <c r="R80" s="65"/>
      <c r="S80" s="65"/>
      <c r="T80" s="65"/>
      <c r="U80" s="65"/>
      <c r="W80" s="31" t="s">
        <v>73</v>
      </c>
      <c r="X80" s="66"/>
      <c r="AA80" s="65"/>
      <c r="AB80" s="65"/>
      <c r="AC80" s="65"/>
    </row>
    <row r="81" spans="2:29" ht="44" thickBot="1" x14ac:dyDescent="0.4"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5"/>
      <c r="N81" s="46" t="s">
        <v>60</v>
      </c>
      <c r="O81" s="34" t="s">
        <v>66</v>
      </c>
      <c r="P81" s="35" t="s">
        <v>32</v>
      </c>
      <c r="Q81" s="35" t="s">
        <v>67</v>
      </c>
      <c r="R81" s="35" t="s">
        <v>68</v>
      </c>
      <c r="S81" s="35" t="s">
        <v>69</v>
      </c>
      <c r="T81" s="35" t="s">
        <v>70</v>
      </c>
      <c r="U81" s="35" t="s">
        <v>71</v>
      </c>
      <c r="V81" s="65"/>
      <c r="W81" s="35" t="s">
        <v>63</v>
      </c>
      <c r="X81" s="35" t="s">
        <v>64</v>
      </c>
      <c r="Y81" s="35" t="s">
        <v>65</v>
      </c>
      <c r="AA81" s="65"/>
      <c r="AB81" s="65"/>
      <c r="AC81" s="65"/>
    </row>
    <row r="82" spans="2:29" ht="16" thickBot="1" x14ac:dyDescent="0.4"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" t="s">
        <v>1</v>
      </c>
      <c r="N82" s="20">
        <f>AVERAGE(r_BN.PA)*12</f>
        <v>8.0141008757000587E-2</v>
      </c>
      <c r="O82" s="23">
        <v>0</v>
      </c>
      <c r="P82" s="25">
        <f>SUM(O82:O93)</f>
        <v>1.0000000000000002</v>
      </c>
      <c r="Q82" s="39" cm="1">
        <f t="array" ref="Q82">MMULT(TRANSPOSE(O82:O93),N82:N93)</f>
        <v>0.29731188784580109</v>
      </c>
      <c r="R82" s="39" cm="1">
        <f t="array" ref="R82">MMULT(MMULT(TRANSPOSE(O82:O93),K9:V20),O82:O93)*12</f>
        <v>4.8058704261297852E-2</v>
      </c>
      <c r="S82" s="39">
        <f>SQRT(R82)</f>
        <v>0.21922295559839952</v>
      </c>
      <c r="T82" s="39">
        <f>Q82-B5</f>
        <v>0.29231188784580109</v>
      </c>
      <c r="U82" s="69">
        <f>T82/S82</f>
        <v>1.3333999947582824</v>
      </c>
      <c r="V82" s="65"/>
      <c r="W82" s="6">
        <v>0</v>
      </c>
      <c r="X82" s="67">
        <f t="shared" ref="X82:X102" si="2">$B$5+W82*$T$82</f>
        <v>5.0000000000000001E-3</v>
      </c>
      <c r="Y82" s="67">
        <f t="shared" ref="Y82:Y102" si="3">W82*$S$82</f>
        <v>0</v>
      </c>
      <c r="AA82" s="65"/>
      <c r="AB82" s="65"/>
      <c r="AC82" s="65"/>
    </row>
    <row r="83" spans="2:29" ht="15.5" x14ac:dyDescent="0.35"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" t="s">
        <v>2</v>
      </c>
      <c r="N83" s="20">
        <f>AVERAGE(r_BNP.PA)*12</f>
        <v>0.32603851869449318</v>
      </c>
      <c r="O83" s="23">
        <v>0</v>
      </c>
      <c r="P83" s="65"/>
      <c r="Q83" s="65"/>
      <c r="R83" s="65"/>
      <c r="S83" s="65"/>
      <c r="T83" s="65"/>
      <c r="U83" s="65"/>
      <c r="V83" s="65"/>
      <c r="W83" s="6">
        <v>0.1</v>
      </c>
      <c r="X83" s="67">
        <f t="shared" si="2"/>
        <v>3.4231188784580112E-2</v>
      </c>
      <c r="Y83" s="67">
        <f t="shared" si="3"/>
        <v>2.1922295559839954E-2</v>
      </c>
      <c r="AA83" s="65"/>
      <c r="AB83" s="65"/>
      <c r="AC83" s="65"/>
    </row>
    <row r="84" spans="2:29" ht="15.5" x14ac:dyDescent="0.35">
      <c r="B84" s="60"/>
      <c r="C84" s="60"/>
      <c r="D84" s="60"/>
      <c r="E84" s="60"/>
      <c r="F84" s="60"/>
      <c r="G84" s="60"/>
      <c r="H84" s="60"/>
      <c r="I84" s="60"/>
      <c r="J84" s="60"/>
      <c r="K84" s="60"/>
      <c r="M84" s="6" t="s">
        <v>3</v>
      </c>
      <c r="N84" s="20">
        <f>AVERAGE(r_CA.PA)*12</f>
        <v>4.2391280458784326E-2</v>
      </c>
      <c r="O84" s="23">
        <v>0</v>
      </c>
      <c r="P84" s="65"/>
      <c r="Q84" s="65"/>
      <c r="R84" s="65"/>
      <c r="S84" s="65"/>
      <c r="T84" s="65"/>
      <c r="U84" s="65"/>
      <c r="V84" s="65"/>
      <c r="W84" s="6">
        <v>0.2</v>
      </c>
      <c r="X84" s="67">
        <f t="shared" si="2"/>
        <v>6.3462377569160219E-2</v>
      </c>
      <c r="Y84" s="67">
        <f t="shared" si="3"/>
        <v>4.3844591119679907E-2</v>
      </c>
      <c r="AA84" s="65"/>
      <c r="AB84" s="65"/>
      <c r="AC84" s="65"/>
    </row>
    <row r="85" spans="2:29" ht="15.5" x14ac:dyDescent="0.35">
      <c r="B85" s="60"/>
      <c r="C85" s="60"/>
      <c r="D85" s="60"/>
      <c r="E85" s="60"/>
      <c r="F85" s="60"/>
      <c r="G85" s="60"/>
      <c r="H85" s="60"/>
      <c r="I85" s="60"/>
      <c r="J85" s="60"/>
      <c r="K85" s="60"/>
      <c r="M85" s="6" t="s">
        <v>4</v>
      </c>
      <c r="N85" s="20">
        <f>AVERAGE(r_CS.PA)*12</f>
        <v>0.27105391138211221</v>
      </c>
      <c r="O85" s="23">
        <v>0.21558276905676169</v>
      </c>
      <c r="P85" s="65"/>
      <c r="Q85" s="65"/>
      <c r="R85" s="65"/>
      <c r="S85" s="65"/>
      <c r="T85" s="65"/>
      <c r="U85" s="65"/>
      <c r="V85" s="65"/>
      <c r="W85" s="6">
        <v>0.3</v>
      </c>
      <c r="X85" s="67">
        <f t="shared" si="2"/>
        <v>9.2693566353740334E-2</v>
      </c>
      <c r="Y85" s="67">
        <f t="shared" si="3"/>
        <v>6.5766886679519854E-2</v>
      </c>
      <c r="AA85" s="65"/>
      <c r="AB85" s="65"/>
      <c r="AC85" s="65"/>
    </row>
    <row r="86" spans="2:29" ht="15.5" x14ac:dyDescent="0.35">
      <c r="B86" s="60"/>
      <c r="C86" s="60"/>
      <c r="D86" s="60"/>
      <c r="E86" s="60"/>
      <c r="F86" s="60"/>
      <c r="G86" s="60"/>
      <c r="H86" s="60"/>
      <c r="I86" s="60"/>
      <c r="J86" s="60"/>
      <c r="K86" s="60"/>
      <c r="M86" s="6" t="s">
        <v>5</v>
      </c>
      <c r="N86" s="20">
        <f>AVERAGE(r_DG.PA)*12</f>
        <v>0.13670020780747316</v>
      </c>
      <c r="O86" s="23">
        <v>0</v>
      </c>
      <c r="P86" s="65"/>
      <c r="Q86" s="65"/>
      <c r="R86" s="65"/>
      <c r="S86" s="65"/>
      <c r="T86" s="65"/>
      <c r="U86" s="65"/>
      <c r="V86" s="65"/>
      <c r="W86" s="6">
        <v>0.4</v>
      </c>
      <c r="X86" s="67">
        <f t="shared" si="2"/>
        <v>0.12192475513832045</v>
      </c>
      <c r="Y86" s="67">
        <f t="shared" si="3"/>
        <v>8.7689182239359814E-2</v>
      </c>
      <c r="AA86" s="65"/>
      <c r="AB86" s="65"/>
      <c r="AC86" s="65"/>
    </row>
    <row r="87" spans="2:29" ht="15.5" x14ac:dyDescent="0.35">
      <c r="B87" s="60"/>
      <c r="C87" s="60"/>
      <c r="D87" s="60"/>
      <c r="E87" s="60"/>
      <c r="F87" s="60"/>
      <c r="G87" s="60"/>
      <c r="H87" s="60"/>
      <c r="I87" s="60"/>
      <c r="J87" s="60"/>
      <c r="K87" s="60"/>
      <c r="M87" s="6" t="s">
        <v>6</v>
      </c>
      <c r="N87" s="20">
        <f>AVERAGE(r_EN.PA)*12</f>
        <v>0.11676615658866349</v>
      </c>
      <c r="O87" s="23">
        <v>0</v>
      </c>
      <c r="P87" s="65"/>
      <c r="Q87" s="65"/>
      <c r="R87" s="65"/>
      <c r="S87" s="65"/>
      <c r="T87" s="65"/>
      <c r="U87" s="65"/>
      <c r="V87" s="65"/>
      <c r="W87" s="6">
        <v>0.5</v>
      </c>
      <c r="X87" s="67">
        <f t="shared" si="2"/>
        <v>0.15115594392290055</v>
      </c>
      <c r="Y87" s="67">
        <f t="shared" si="3"/>
        <v>0.10961147779919976</v>
      </c>
      <c r="AA87" s="65"/>
      <c r="AB87" s="65"/>
      <c r="AC87" s="65"/>
    </row>
    <row r="88" spans="2:29" ht="15.5" x14ac:dyDescent="0.35">
      <c r="B88" s="60"/>
      <c r="C88" s="60"/>
      <c r="D88" s="60"/>
      <c r="E88" s="60"/>
      <c r="F88" s="60"/>
      <c r="G88" s="60"/>
      <c r="H88" s="60"/>
      <c r="I88" s="60"/>
      <c r="J88" s="60"/>
      <c r="K88" s="60"/>
      <c r="M88" s="6" t="s">
        <v>7</v>
      </c>
      <c r="N88" s="20">
        <f>AVERAGE(r_ENGI.PA)*12</f>
        <v>0.19109489942337862</v>
      </c>
      <c r="O88" s="23">
        <v>0.27821691192531356</v>
      </c>
      <c r="P88" s="65"/>
      <c r="Q88" s="65"/>
      <c r="R88" s="65"/>
      <c r="S88" s="65"/>
      <c r="T88" s="65"/>
      <c r="U88" s="65"/>
      <c r="V88" s="65"/>
      <c r="W88" s="6">
        <v>0.6</v>
      </c>
      <c r="X88" s="67">
        <f t="shared" si="2"/>
        <v>0.18038713270748066</v>
      </c>
      <c r="Y88" s="67">
        <f t="shared" si="3"/>
        <v>0.13153377335903971</v>
      </c>
      <c r="AA88" s="65"/>
      <c r="AB88" s="65"/>
      <c r="AC88" s="65"/>
    </row>
    <row r="89" spans="2:29" ht="15.5" x14ac:dyDescent="0.35">
      <c r="M89" s="6" t="s">
        <v>8</v>
      </c>
      <c r="N89" s="20">
        <f>AVERAGE(r_KER.PA)*12</f>
        <v>-3.7197964699965641E-2</v>
      </c>
      <c r="O89" s="23">
        <v>0</v>
      </c>
      <c r="P89" s="65"/>
      <c r="Q89" s="65"/>
      <c r="R89" s="65"/>
      <c r="S89" s="65"/>
      <c r="T89" s="65"/>
      <c r="U89" s="65"/>
      <c r="V89" s="65"/>
      <c r="W89" s="6">
        <v>0.7</v>
      </c>
      <c r="X89" s="67">
        <f t="shared" si="2"/>
        <v>0.20961832149206075</v>
      </c>
      <c r="Y89" s="67">
        <f t="shared" si="3"/>
        <v>0.15345606891887967</v>
      </c>
      <c r="AA89" s="65"/>
      <c r="AB89" s="65"/>
      <c r="AC89" s="65"/>
    </row>
    <row r="90" spans="2:29" ht="15.5" x14ac:dyDescent="0.35">
      <c r="M90" s="6" t="s">
        <v>9</v>
      </c>
      <c r="N90" s="20">
        <f>AVERAGE(r_ML.PA)*12</f>
        <v>0.15975950333029129</v>
      </c>
      <c r="O90" s="23">
        <v>0</v>
      </c>
      <c r="P90" s="65"/>
      <c r="Q90" s="65"/>
      <c r="R90" s="65"/>
      <c r="S90" s="65"/>
      <c r="T90" s="65"/>
      <c r="U90" s="65"/>
      <c r="V90" s="65"/>
      <c r="W90" s="6">
        <v>0.8</v>
      </c>
      <c r="X90" s="67">
        <f t="shared" si="2"/>
        <v>0.23884951027664089</v>
      </c>
      <c r="Y90" s="67">
        <f t="shared" si="3"/>
        <v>0.17537836447871963</v>
      </c>
      <c r="AA90" s="65"/>
      <c r="AB90" s="65"/>
      <c r="AC90" s="65"/>
    </row>
    <row r="91" spans="2:29" ht="15.5" x14ac:dyDescent="0.35">
      <c r="M91" s="6" t="s">
        <v>10</v>
      </c>
      <c r="N91" s="20">
        <f>AVERAGE(r_OR.PA)*12</f>
        <v>0.1096751689273163</v>
      </c>
      <c r="O91" s="23">
        <v>0</v>
      </c>
      <c r="P91" s="65"/>
      <c r="Q91" s="65"/>
      <c r="R91" s="65"/>
      <c r="S91" s="65"/>
      <c r="T91" s="65"/>
      <c r="U91" s="65"/>
      <c r="V91" s="65"/>
      <c r="W91" s="6">
        <v>0.9</v>
      </c>
      <c r="X91" s="67">
        <f t="shared" si="2"/>
        <v>0.26808069906122101</v>
      </c>
      <c r="Y91" s="67">
        <f t="shared" si="3"/>
        <v>0.19730066003855956</v>
      </c>
      <c r="AA91" s="65"/>
      <c r="AB91" s="65"/>
      <c r="AC91" s="65"/>
    </row>
    <row r="92" spans="2:29" ht="15.5" x14ac:dyDescent="0.35">
      <c r="M92" s="6" t="s">
        <v>11</v>
      </c>
      <c r="N92" s="20">
        <f>AVERAGE(r_SGO.PA)*12</f>
        <v>0.3668735385715004</v>
      </c>
      <c r="O92" s="23">
        <v>0.50620031901792495</v>
      </c>
      <c r="P92" s="65"/>
      <c r="Q92" s="65"/>
      <c r="R92" s="65"/>
      <c r="S92" s="65"/>
      <c r="T92" s="65"/>
      <c r="U92" s="65"/>
      <c r="V92" s="65"/>
      <c r="W92" s="6">
        <v>1</v>
      </c>
      <c r="X92" s="67">
        <f t="shared" si="2"/>
        <v>0.29731188784580109</v>
      </c>
      <c r="Y92" s="67">
        <f t="shared" si="3"/>
        <v>0.21922295559839952</v>
      </c>
      <c r="AA92" s="65"/>
      <c r="AB92" s="65"/>
      <c r="AC92" s="65"/>
    </row>
    <row r="93" spans="2:29" ht="16" thickBot="1" x14ac:dyDescent="0.4">
      <c r="M93" s="6" t="s">
        <v>12</v>
      </c>
      <c r="N93" s="21">
        <f>AVERAGE(r_TTE.PA)*12</f>
        <v>0.20708722422129289</v>
      </c>
      <c r="O93" s="24">
        <v>0</v>
      </c>
      <c r="P93" s="65"/>
      <c r="Q93" s="65"/>
      <c r="R93" s="65"/>
      <c r="S93" s="65"/>
      <c r="T93" s="65"/>
      <c r="U93" s="65"/>
      <c r="V93" s="65"/>
      <c r="W93" s="6">
        <v>1.1000000000000001</v>
      </c>
      <c r="X93" s="67">
        <f t="shared" si="2"/>
        <v>0.32654307663038123</v>
      </c>
      <c r="Y93" s="67">
        <f t="shared" si="3"/>
        <v>0.24114525115823948</v>
      </c>
      <c r="AA93" s="65"/>
      <c r="AB93" s="65"/>
      <c r="AC93" s="65"/>
    </row>
    <row r="94" spans="2:29" ht="15.5" x14ac:dyDescent="0.35">
      <c r="M94" s="65"/>
      <c r="O94" s="65"/>
      <c r="P94" s="65"/>
      <c r="Q94" s="65"/>
      <c r="R94" s="65"/>
      <c r="S94" s="65"/>
      <c r="T94" s="65"/>
      <c r="U94" s="65"/>
      <c r="V94" s="65"/>
      <c r="W94" s="6">
        <v>1.2</v>
      </c>
      <c r="X94" s="67">
        <f t="shared" si="2"/>
        <v>0.35577426541496132</v>
      </c>
      <c r="Y94" s="67">
        <f t="shared" si="3"/>
        <v>0.26306754671807941</v>
      </c>
      <c r="AA94" s="65"/>
      <c r="AB94" s="65"/>
      <c r="AC94" s="65"/>
    </row>
    <row r="95" spans="2:29" ht="15.5" x14ac:dyDescent="0.35"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">
        <v>1.3</v>
      </c>
      <c r="X95" s="67">
        <f t="shared" si="2"/>
        <v>0.38500545419954141</v>
      </c>
      <c r="Y95" s="67">
        <f t="shared" si="3"/>
        <v>0.2849898422779194</v>
      </c>
      <c r="AA95" s="65"/>
      <c r="AB95" s="65"/>
      <c r="AC95" s="65"/>
    </row>
    <row r="96" spans="2:29" ht="15.5" x14ac:dyDescent="0.35"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">
        <v>1.4</v>
      </c>
      <c r="X96" s="67">
        <f t="shared" si="2"/>
        <v>0.41423664298412149</v>
      </c>
      <c r="Y96" s="67">
        <f t="shared" si="3"/>
        <v>0.30691213783775934</v>
      </c>
      <c r="AA96" s="65"/>
      <c r="AB96" s="65"/>
      <c r="AC96" s="65"/>
    </row>
    <row r="97" spans="13:29" ht="15.5" x14ac:dyDescent="0.35"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">
        <v>1.5</v>
      </c>
      <c r="X97" s="67">
        <f t="shared" si="2"/>
        <v>0.44346783176870164</v>
      </c>
      <c r="Y97" s="67">
        <f t="shared" si="3"/>
        <v>0.32883443339759927</v>
      </c>
      <c r="AA97" s="65"/>
      <c r="AB97" s="65"/>
      <c r="AC97" s="65"/>
    </row>
    <row r="98" spans="13:29" ht="15.5" x14ac:dyDescent="0.35"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">
        <v>1.6</v>
      </c>
      <c r="X98" s="67">
        <f t="shared" si="2"/>
        <v>0.47269902055328178</v>
      </c>
      <c r="Y98" s="67">
        <f t="shared" si="3"/>
        <v>0.35075672895743926</v>
      </c>
      <c r="AA98" s="65"/>
      <c r="AB98" s="65"/>
      <c r="AC98" s="65"/>
    </row>
    <row r="99" spans="13:29" ht="15.5" x14ac:dyDescent="0.35"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">
        <v>1.7</v>
      </c>
      <c r="X99" s="67">
        <f t="shared" si="2"/>
        <v>0.50193020933786181</v>
      </c>
      <c r="Y99" s="67">
        <f t="shared" si="3"/>
        <v>0.37267902451727919</v>
      </c>
      <c r="AA99" s="65"/>
      <c r="AB99" s="65"/>
      <c r="AC99" s="65"/>
    </row>
    <row r="100" spans="13:29" ht="15.5" x14ac:dyDescent="0.35"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">
        <v>1.8</v>
      </c>
      <c r="X100" s="67">
        <f t="shared" si="2"/>
        <v>0.53116139812244201</v>
      </c>
      <c r="Y100" s="67">
        <f t="shared" si="3"/>
        <v>0.39460132007711912</v>
      </c>
      <c r="AA100" s="65"/>
      <c r="AB100" s="65"/>
      <c r="AC100" s="65"/>
    </row>
    <row r="101" spans="13:29" ht="15.5" x14ac:dyDescent="0.35"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">
        <v>1.9</v>
      </c>
      <c r="X101" s="67">
        <f t="shared" si="2"/>
        <v>0.56039258690702209</v>
      </c>
      <c r="Y101" s="67">
        <f t="shared" si="3"/>
        <v>0.41652361563695905</v>
      </c>
      <c r="AA101" s="65"/>
      <c r="AB101" s="65"/>
      <c r="AC101" s="65"/>
    </row>
    <row r="102" spans="13:29" ht="16" thickBot="1" x14ac:dyDescent="0.4"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">
        <v>2</v>
      </c>
      <c r="X102" s="68">
        <f t="shared" si="2"/>
        <v>0.58962377569160218</v>
      </c>
      <c r="Y102" s="68">
        <f t="shared" si="3"/>
        <v>0.43844591119679904</v>
      </c>
      <c r="AA102" s="65"/>
      <c r="AB102" s="65"/>
      <c r="AC102" s="65"/>
    </row>
    <row r="103" spans="13:29" x14ac:dyDescent="0.35">
      <c r="O103" s="60"/>
      <c r="P103" s="60"/>
      <c r="Q103" s="60"/>
      <c r="R103" s="60"/>
      <c r="S103" s="60"/>
      <c r="T103" s="60"/>
      <c r="U103" s="60"/>
      <c r="V103" s="60"/>
    </row>
    <row r="104" spans="13:29" x14ac:dyDescent="0.35">
      <c r="O104" s="60"/>
      <c r="P104" s="60"/>
      <c r="Q104" s="60"/>
      <c r="R104" s="60"/>
      <c r="S104" s="60"/>
      <c r="T104" s="60"/>
      <c r="U104" s="60"/>
      <c r="V104" s="60"/>
    </row>
    <row r="105" spans="13:29" x14ac:dyDescent="0.35">
      <c r="O105" s="60"/>
      <c r="P105" s="60"/>
      <c r="Q105" s="60"/>
      <c r="R105" s="60"/>
      <c r="S105" s="60"/>
      <c r="T105" s="60"/>
      <c r="U105" s="60"/>
      <c r="V105" s="60"/>
    </row>
    <row r="106" spans="13:29" x14ac:dyDescent="0.35">
      <c r="O106" s="60"/>
      <c r="P106" s="60"/>
      <c r="Q106" s="60"/>
      <c r="R106" s="60"/>
      <c r="S106" s="60"/>
      <c r="T106" s="60"/>
      <c r="U106" s="60"/>
      <c r="V106" s="60"/>
    </row>
    <row r="107" spans="13:29" x14ac:dyDescent="0.35">
      <c r="O107" s="60"/>
      <c r="P107" s="60"/>
      <c r="Q107" s="60"/>
      <c r="R107" s="60"/>
      <c r="S107" s="60"/>
      <c r="T107" s="60"/>
      <c r="U107" s="60"/>
      <c r="V107" s="60"/>
    </row>
  </sheetData>
  <mergeCells count="3">
    <mergeCell ref="J7:W7"/>
    <mergeCell ref="M80:N80"/>
    <mergeCell ref="O80:P8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Data</vt:lpstr>
      <vt:lpstr>Q1</vt:lpstr>
      <vt:lpstr>Q2</vt:lpstr>
      <vt:lpstr>Q3</vt:lpstr>
      <vt:lpstr>Q4</vt:lpstr>
      <vt:lpstr>Q5</vt:lpstr>
      <vt:lpstr>Q6</vt:lpstr>
      <vt:lpstr>Cov</vt:lpstr>
      <vt:lpstr>cov_rf</vt:lpstr>
      <vt:lpstr>r_BN.PA</vt:lpstr>
      <vt:lpstr>r_BNP.PA</vt:lpstr>
      <vt:lpstr>r_CA.PA</vt:lpstr>
      <vt:lpstr>r_CS.PA</vt:lpstr>
      <vt:lpstr>r_DG.PA</vt:lpstr>
      <vt:lpstr>r_EN.PA</vt:lpstr>
      <vt:lpstr>r_ENGI.PA</vt:lpstr>
      <vt:lpstr>r_KER.PA</vt:lpstr>
      <vt:lpstr>r_ML.PA</vt:lpstr>
      <vt:lpstr>r_OR.PA</vt:lpstr>
      <vt:lpstr>r_SGO.PA</vt:lpstr>
      <vt:lpstr>r_TTE.PA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Cêlestine Cstl</dc:creator>
  <cp:lastModifiedBy>Cêlestine Cstl</cp:lastModifiedBy>
  <dcterms:created xsi:type="dcterms:W3CDTF">2025-02-19T11:43:37Z</dcterms:created>
  <dcterms:modified xsi:type="dcterms:W3CDTF">2025-02-23T23:04:17Z</dcterms:modified>
</cp:coreProperties>
</file>